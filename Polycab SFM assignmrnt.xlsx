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13_ncr:1_{2BF68A0A-3E73-4101-BC1E-F0DCD003296A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 Panel Data" sheetId="2" r:id="rId1"/>
    <sheet name=" Descriptive Stats" sheetId="3" r:id="rId2"/>
    <sheet name="key kpi" sheetId="4" r:id="rId3"/>
    <sheet name=" Polycab Cap Structure" sheetId="5" r:id="rId4"/>
    <sheet name="Correlation" sheetId="6" r:id="rId5"/>
    <sheet name="Regression Results" sheetId="7" r:id="rId6"/>
    <sheet name="comparis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3" l="1"/>
  <c r="J62" i="8"/>
  <c r="I62" i="8"/>
  <c r="H62" i="8"/>
  <c r="G62" i="8"/>
  <c r="F62" i="8"/>
  <c r="E62" i="8"/>
  <c r="D62" i="8"/>
  <c r="C62" i="8"/>
  <c r="J39" i="8"/>
  <c r="I39" i="8"/>
  <c r="H39" i="8"/>
  <c r="G39" i="8"/>
  <c r="F39" i="8"/>
  <c r="E39" i="8"/>
  <c r="D39" i="8"/>
  <c r="C39" i="8"/>
  <c r="J38" i="8"/>
  <c r="I38" i="8"/>
  <c r="H38" i="8"/>
  <c r="G38" i="8"/>
  <c r="F38" i="8"/>
  <c r="E38" i="8"/>
  <c r="D38" i="8"/>
  <c r="C38" i="8"/>
  <c r="J37" i="8"/>
  <c r="I37" i="8"/>
  <c r="H37" i="8"/>
  <c r="G37" i="8"/>
  <c r="F37" i="8"/>
  <c r="E37" i="8"/>
  <c r="D37" i="8"/>
  <c r="C37" i="8"/>
  <c r="J36" i="8"/>
  <c r="I36" i="8"/>
  <c r="H36" i="8"/>
  <c r="G36" i="8"/>
  <c r="F36" i="8"/>
  <c r="E36" i="8"/>
  <c r="D36" i="8"/>
  <c r="C36" i="8"/>
  <c r="T35" i="8"/>
  <c r="S35" i="8"/>
  <c r="R35" i="8"/>
  <c r="Q35" i="8"/>
  <c r="P35" i="8"/>
  <c r="O35" i="8"/>
  <c r="N35" i="8"/>
  <c r="M35" i="8"/>
  <c r="J35" i="8"/>
  <c r="I35" i="8"/>
  <c r="H35" i="8"/>
  <c r="G35" i="8"/>
  <c r="F35" i="8"/>
  <c r="E35" i="8"/>
  <c r="D35" i="8"/>
  <c r="C35" i="8"/>
  <c r="T34" i="8"/>
  <c r="S34" i="8"/>
  <c r="R34" i="8"/>
  <c r="Q34" i="8"/>
  <c r="P34" i="8"/>
  <c r="O34" i="8"/>
  <c r="N34" i="8"/>
  <c r="M34" i="8"/>
  <c r="J34" i="8"/>
  <c r="I34" i="8"/>
  <c r="H34" i="8"/>
  <c r="G34" i="8"/>
  <c r="F34" i="8"/>
  <c r="E34" i="8"/>
  <c r="D34" i="8"/>
  <c r="C34" i="8"/>
  <c r="T10" i="8"/>
  <c r="S10" i="8"/>
  <c r="R10" i="8"/>
  <c r="Q10" i="8"/>
  <c r="P10" i="8"/>
  <c r="O10" i="8"/>
  <c r="N10" i="8"/>
  <c r="M10" i="8"/>
  <c r="J10" i="8"/>
  <c r="I10" i="8"/>
  <c r="H10" i="8"/>
  <c r="G10" i="8"/>
  <c r="F10" i="8"/>
  <c r="E10" i="8"/>
  <c r="D10" i="8"/>
  <c r="C10" i="8"/>
  <c r="T9" i="8"/>
  <c r="S9" i="8"/>
  <c r="R9" i="8"/>
  <c r="Q9" i="8"/>
  <c r="P9" i="8"/>
  <c r="O9" i="8"/>
  <c r="N9" i="8"/>
  <c r="M9" i="8"/>
  <c r="J9" i="8"/>
  <c r="I9" i="8"/>
  <c r="H9" i="8"/>
  <c r="G9" i="8"/>
  <c r="F9" i="8"/>
  <c r="E9" i="8"/>
  <c r="D9" i="8"/>
  <c r="C9" i="8"/>
  <c r="T8" i="8"/>
  <c r="S8" i="8"/>
  <c r="R8" i="8"/>
  <c r="Q8" i="8"/>
  <c r="P8" i="8"/>
  <c r="O8" i="8"/>
  <c r="N8" i="8"/>
  <c r="M8" i="8"/>
  <c r="J8" i="8"/>
  <c r="I8" i="8"/>
  <c r="H8" i="8"/>
  <c r="G8" i="8"/>
  <c r="F8" i="8"/>
  <c r="E8" i="8"/>
  <c r="D8" i="8"/>
  <c r="C8" i="8"/>
  <c r="T7" i="8"/>
  <c r="S7" i="8"/>
  <c r="R7" i="8"/>
  <c r="Q7" i="8"/>
  <c r="P7" i="8"/>
  <c r="O7" i="8"/>
  <c r="N7" i="8"/>
  <c r="M7" i="8"/>
  <c r="J7" i="8"/>
  <c r="I7" i="8"/>
  <c r="H7" i="8"/>
  <c r="G7" i="8"/>
  <c r="F7" i="8"/>
  <c r="E7" i="8"/>
  <c r="D7" i="8"/>
  <c r="C7" i="8"/>
  <c r="T6" i="8"/>
  <c r="S6" i="8"/>
  <c r="R6" i="8"/>
  <c r="Q6" i="8"/>
  <c r="P6" i="8"/>
  <c r="O6" i="8"/>
  <c r="N6" i="8"/>
  <c r="M6" i="8"/>
  <c r="J6" i="8"/>
  <c r="I6" i="8"/>
  <c r="H6" i="8"/>
  <c r="G6" i="8"/>
  <c r="F6" i="8"/>
  <c r="E6" i="8"/>
  <c r="D6" i="8"/>
  <c r="C6" i="8"/>
  <c r="T5" i="8"/>
  <c r="S5" i="8"/>
  <c r="R5" i="8"/>
  <c r="Q5" i="8"/>
  <c r="P5" i="8"/>
  <c r="O5" i="8"/>
  <c r="N5" i="8"/>
  <c r="M5" i="8"/>
  <c r="J5" i="8"/>
  <c r="I5" i="8"/>
  <c r="H5" i="8"/>
  <c r="G5" i="8"/>
  <c r="F5" i="8"/>
  <c r="E5" i="8"/>
  <c r="D5" i="8"/>
  <c r="C5" i="8"/>
  <c r="F30" i="6"/>
  <c r="D30" i="6"/>
  <c r="F29" i="6"/>
  <c r="D29" i="6"/>
  <c r="F28" i="6"/>
  <c r="D28" i="6"/>
  <c r="F26" i="6"/>
  <c r="D26" i="6"/>
  <c r="F25" i="6"/>
  <c r="D25" i="6"/>
  <c r="F24" i="6"/>
  <c r="D24" i="6"/>
  <c r="J31" i="5"/>
  <c r="J36" i="5" s="1"/>
  <c r="I31" i="5"/>
  <c r="I36" i="5" s="1"/>
  <c r="H31" i="5"/>
  <c r="H36" i="5" s="1"/>
  <c r="G31" i="5"/>
  <c r="G36" i="5" s="1"/>
  <c r="F31" i="5"/>
  <c r="F36" i="5" s="1"/>
  <c r="E31" i="5"/>
  <c r="E36" i="5" s="1"/>
  <c r="D31" i="5"/>
  <c r="D36" i="5" s="1"/>
  <c r="C31" i="5"/>
  <c r="C36" i="5" s="1"/>
  <c r="J22" i="5"/>
  <c r="J23" i="5" s="1"/>
  <c r="I22" i="5"/>
  <c r="I23" i="5" s="1"/>
  <c r="H22" i="5"/>
  <c r="H23" i="5" s="1"/>
  <c r="G22" i="5"/>
  <c r="G23" i="5" s="1"/>
  <c r="F22" i="5"/>
  <c r="F23" i="5" s="1"/>
  <c r="E22" i="5"/>
  <c r="E23" i="5" s="1"/>
  <c r="D22" i="5"/>
  <c r="D23" i="5" s="1"/>
  <c r="C22" i="5"/>
  <c r="C23" i="5" s="1"/>
  <c r="J11" i="5"/>
  <c r="I11" i="5"/>
  <c r="H11" i="5"/>
  <c r="G11" i="5"/>
  <c r="F11" i="5"/>
  <c r="E11" i="5"/>
  <c r="D11" i="5"/>
  <c r="C11" i="5"/>
  <c r="J10" i="5"/>
  <c r="I10" i="5"/>
  <c r="H10" i="5"/>
  <c r="G10" i="5"/>
  <c r="F10" i="5"/>
  <c r="E10" i="5"/>
  <c r="D10" i="5"/>
  <c r="C10" i="5"/>
  <c r="J9" i="5"/>
  <c r="I9" i="5"/>
  <c r="H9" i="5"/>
  <c r="G9" i="5"/>
  <c r="F9" i="5"/>
  <c r="E9" i="5"/>
  <c r="D9" i="5"/>
  <c r="C9" i="5"/>
  <c r="J8" i="5"/>
  <c r="I8" i="5"/>
  <c r="H8" i="5"/>
  <c r="G8" i="5"/>
  <c r="F8" i="5"/>
  <c r="E8" i="5"/>
  <c r="D8" i="5"/>
  <c r="C8" i="5"/>
  <c r="J7" i="5"/>
  <c r="I7" i="5"/>
  <c r="H7" i="5"/>
  <c r="G7" i="5"/>
  <c r="F7" i="5"/>
  <c r="E7" i="5"/>
  <c r="D7" i="5"/>
  <c r="C7" i="5"/>
  <c r="J6" i="5"/>
  <c r="I6" i="5"/>
  <c r="H6" i="5"/>
  <c r="G6" i="5"/>
  <c r="F6" i="5"/>
  <c r="E6" i="5"/>
  <c r="D6" i="5"/>
  <c r="C6" i="5"/>
  <c r="J5" i="5"/>
  <c r="I5" i="5"/>
  <c r="H5" i="5"/>
  <c r="H14" i="5" s="1"/>
  <c r="G5" i="5"/>
  <c r="F5" i="5"/>
  <c r="E5" i="5"/>
  <c r="D5" i="5"/>
  <c r="D14" i="5" s="1"/>
  <c r="C5" i="5"/>
  <c r="E32" i="4"/>
  <c r="E31" i="4"/>
  <c r="E30" i="4"/>
  <c r="E29" i="4"/>
  <c r="E28" i="4"/>
  <c r="J24" i="4"/>
  <c r="H24" i="4"/>
  <c r="F24" i="4"/>
  <c r="D24" i="4"/>
  <c r="J23" i="4"/>
  <c r="H23" i="4"/>
  <c r="F23" i="4"/>
  <c r="D23" i="4"/>
  <c r="J22" i="4"/>
  <c r="H22" i="4"/>
  <c r="F22" i="4"/>
  <c r="D22" i="4"/>
  <c r="J21" i="4"/>
  <c r="H21" i="4"/>
  <c r="F21" i="4"/>
  <c r="D21" i="4"/>
  <c r="J20" i="4"/>
  <c r="H20" i="4"/>
  <c r="F20" i="4"/>
  <c r="D20" i="4"/>
  <c r="J19" i="4"/>
  <c r="H19" i="4"/>
  <c r="F19" i="4"/>
  <c r="D19" i="4"/>
  <c r="J18" i="4"/>
  <c r="H18" i="4"/>
  <c r="F18" i="4"/>
  <c r="D18" i="4"/>
  <c r="L13" i="4"/>
  <c r="J13" i="4"/>
  <c r="H13" i="4"/>
  <c r="F13" i="4"/>
  <c r="D13" i="4"/>
  <c r="B13" i="4"/>
  <c r="I14" i="3"/>
  <c r="H14" i="3"/>
  <c r="F14" i="3"/>
  <c r="E14" i="3"/>
  <c r="D14" i="3"/>
  <c r="C14" i="3"/>
  <c r="I12" i="3"/>
  <c r="H12" i="3"/>
  <c r="F12" i="3"/>
  <c r="E12" i="3"/>
  <c r="D12" i="3"/>
  <c r="C12" i="3"/>
  <c r="I7" i="3"/>
  <c r="H7" i="3"/>
  <c r="F7" i="3"/>
  <c r="E7" i="3"/>
  <c r="D7" i="3"/>
  <c r="C7" i="3"/>
  <c r="I6" i="3"/>
  <c r="H6" i="3"/>
  <c r="F6" i="3"/>
  <c r="E6" i="3"/>
  <c r="C6" i="3"/>
  <c r="I5" i="3"/>
  <c r="H5" i="3"/>
  <c r="F5" i="3"/>
  <c r="E5" i="3"/>
  <c r="D5" i="3"/>
  <c r="C5" i="3"/>
  <c r="I4" i="3"/>
  <c r="H4" i="3"/>
  <c r="F4" i="3"/>
  <c r="E4" i="3"/>
  <c r="D4" i="3"/>
  <c r="C4" i="3"/>
  <c r="I3" i="3"/>
  <c r="H3" i="3"/>
  <c r="F3" i="3"/>
  <c r="E3" i="3"/>
  <c r="D3" i="3"/>
  <c r="C3" i="3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G12" i="3" l="1"/>
  <c r="F14" i="5"/>
  <c r="J14" i="5"/>
  <c r="E14" i="5"/>
  <c r="I14" i="5"/>
  <c r="G14" i="3"/>
  <c r="G4" i="3"/>
  <c r="G3" i="3"/>
  <c r="G7" i="3"/>
  <c r="D32" i="5"/>
  <c r="D33" i="5" s="1"/>
  <c r="D35" i="5" s="1"/>
  <c r="D63" i="8" s="1"/>
  <c r="H32" i="5"/>
  <c r="H33" i="5"/>
  <c r="H35" i="5" s="1"/>
  <c r="H63" i="8" s="1"/>
  <c r="D27" i="6"/>
  <c r="D31" i="6"/>
  <c r="G14" i="5"/>
  <c r="C32" i="5"/>
  <c r="C33" i="5" s="1"/>
  <c r="C35" i="5" s="1"/>
  <c r="G32" i="5"/>
  <c r="G33" i="5" s="1"/>
  <c r="G35" i="5" s="1"/>
  <c r="G63" i="8" s="1"/>
  <c r="G6" i="3"/>
  <c r="E32" i="5"/>
  <c r="E33" i="5" s="1"/>
  <c r="E35" i="5" s="1"/>
  <c r="E63" i="8" s="1"/>
  <c r="I32" i="5"/>
  <c r="I33" i="5" s="1"/>
  <c r="I35" i="5" s="1"/>
  <c r="I63" i="8" s="1"/>
  <c r="F27" i="6"/>
  <c r="F31" i="6"/>
  <c r="G5" i="3"/>
  <c r="F32" i="5"/>
  <c r="F33" i="5" s="1"/>
  <c r="F35" i="5" s="1"/>
  <c r="F63" i="8" s="1"/>
  <c r="J32" i="5"/>
  <c r="J33" i="5" s="1"/>
  <c r="J35" i="5" s="1"/>
  <c r="J63" i="8" s="1"/>
  <c r="C63" i="8" l="1"/>
</calcChain>
</file>

<file path=xl/sharedStrings.xml><?xml version="1.0" encoding="utf-8"?>
<sst xmlns="http://schemas.openxmlformats.org/spreadsheetml/2006/main" count="361" uniqueCount="206">
  <si>
    <t>Return on Assets (ROA)</t>
  </si>
  <si>
    <t>Non-Debt Tax Shield (NDTS)</t>
  </si>
  <si>
    <t>PANEL DATA — KPIs OF CAPITAL STRUCTURE  |  Electrical Cables &amp; Wires Industry  |  FY2018–FY2025</t>
  </si>
  <si>
    <t>Company</t>
  </si>
  <si>
    <t>Year</t>
  </si>
  <si>
    <t>Capital Structure
(D/E Ratio)</t>
  </si>
  <si>
    <t>Firm Size
(Log Assets)</t>
  </si>
  <si>
    <t>Tangibility
(FA/TA)</t>
  </si>
  <si>
    <t>ICR
(x)</t>
  </si>
  <si>
    <t>Revenue Growth
(%)</t>
  </si>
  <si>
    <t>ROA
(%)</t>
  </si>
  <si>
    <t>NDTS
(%)</t>
  </si>
  <si>
    <t>ICR Log</t>
  </si>
  <si>
    <t>Polycab India</t>
  </si>
  <si>
    <t>KEI Industries</t>
  </si>
  <si>
    <t>Finolex Cables</t>
  </si>
  <si>
    <t>RR Kabel</t>
  </si>
  <si>
    <t>Havells India</t>
  </si>
  <si>
    <t>Universal Cables</t>
  </si>
  <si>
    <t>DESCRIPTIVE STATISTICS — Panel Data (All 6 Companies, FY2018–FY2025, n=48)</t>
  </si>
  <si>
    <t>Statistic</t>
  </si>
  <si>
    <t>CAPITAL STRUCTURE</t>
  </si>
  <si>
    <t>FIRM SIZE</t>
  </si>
  <si>
    <t>TANGIBILITY</t>
  </si>
  <si>
    <t>ROA</t>
  </si>
  <si>
    <t>ICR LOG</t>
  </si>
  <si>
    <t>REVENUE GROWTH</t>
  </si>
  <si>
    <t>NDTS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</si>
  <si>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</si>
  <si>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</si>
  <si>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</si>
  <si>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</si>
  <si>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</si>
  <si>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</si>
  <si>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</si>
  <si>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</si>
  <si>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</si>
  <si>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Sum</t>
  </si>
  <si>
    <t>Sum Sq. Dev.</t>
  </si>
  <si>
    <t>Observations</t>
  </si>
  <si>
    <t>📝 Normality Test (Jarque-Bera): Capital Structure (p=0.00) is NOT normally distributed — high skewness &amp; kurtosis. Other variables are approximately normal (p &gt; 0.10). This supports use of robust panel regression methods.</t>
  </si>
  <si>
    <t>POLYCAB INDIA LIMITED</t>
  </si>
  <si>
    <t>Capital Structure &amp; Strategic Financial Management Analysis  |  Electrical Cables &amp; Wires Industry</t>
  </si>
  <si>
    <t>Panel Period: FY2018 – FY2025  |  6 Companies  |  48 Observations</t>
  </si>
  <si>
    <t xml:space="preserve">  📌  POLYCAB INDIA — KEY KPI SNAPSHOT (FY2025)</t>
  </si>
  <si>
    <t>📉  Debt-to-Equity
(Capital Structure)</t>
  </si>
  <si>
    <t>🏢  Firm Size
(Log Assets)</t>
  </si>
  <si>
    <t>🏭  Tangibility
(Fixed/Total Assets)</t>
  </si>
  <si>
    <t>💰  Interest Coverage
Ratio (ICR)</t>
  </si>
  <si>
    <t>📈  Revenue Growth
(YoY %)</t>
  </si>
  <si>
    <t>💎  Return on Assets
(ROA)</t>
  </si>
  <si>
    <t xml:space="preserve">  📐  PANEL REGRESSION HIGHLIGHTS — Factors Affecting Capital Structure</t>
  </si>
  <si>
    <t>Variable</t>
  </si>
  <si>
    <t>Coefficient</t>
  </si>
  <si>
    <t>Std. Error</t>
  </si>
  <si>
    <t>t-Statistic</t>
  </si>
  <si>
    <t>p-Value</t>
  </si>
  <si>
    <t>Significance</t>
  </si>
  <si>
    <t>Constant (C)</t>
  </si>
  <si>
    <t>★★★ Highly Significant</t>
  </si>
  <si>
    <t>Firm Size</t>
  </si>
  <si>
    <t>Non-Debt Tax Shield</t>
  </si>
  <si>
    <t>Return on Assets</t>
  </si>
  <si>
    <t>★ Marginally Significant</t>
  </si>
  <si>
    <t>Tangibility</t>
  </si>
  <si>
    <t>Not Significant</t>
  </si>
  <si>
    <t>ICR (Log)</t>
  </si>
  <si>
    <t>Revenue Growth</t>
  </si>
  <si>
    <t xml:space="preserve">  📊  MODEL FIT STATISTICS</t>
  </si>
  <si>
    <t>Metric</t>
  </si>
  <si>
    <t>Value</t>
  </si>
  <si>
    <t>Interpretation</t>
  </si>
  <si>
    <t>R-Squared</t>
  </si>
  <si>
    <t>82.2% variation explained</t>
  </si>
  <si>
    <t>Adj. R-Squared</t>
  </si>
  <si>
    <t>Strong explanatory power</t>
  </si>
  <si>
    <t>F-Statistic</t>
  </si>
  <si>
    <t>Model is highly significant</t>
  </si>
  <si>
    <t>Prob(F)</t>
  </si>
  <si>
    <t>Reject null — model valid</t>
  </si>
  <si>
    <t>Durbin-Watson</t>
  </si>
  <si>
    <t>Low auto-correlation</t>
  </si>
  <si>
    <t>📝  KEY INSIGHT: Polycab India follows a conservative, low-leverage capital structure. Larger firm size and higher NDTS (Non-Debt Tax Shield) are the strongest negative determinants of leverage. The panel regression (R²=0.82) confirms that profitability and size drive down debt dependency across the wires &amp; cables industry.</t>
  </si>
  <si>
    <t>POLYCAB INDIA — CAPITAL STRUCTURE &amp; EBIT-EPS ANALYSIS</t>
  </si>
  <si>
    <t xml:space="preserve">  SECTION A: Capital Structure Trend (FY2018–FY2025)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</si>
  <si>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</si>
  <si>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</si>
  <si>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</si>
  <si>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</si>
  <si>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</si>
  <si>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</si>
  <si>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</si>
  <si>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</si>
  <si>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D/E Ratio</t>
  </si>
  <si>
    <t>Firm Size (Log Assets)</t>
  </si>
  <si>
    <t>Tangibility (FA/TA)</t>
  </si>
  <si>
    <t>ICR (x)</t>
  </si>
  <si>
    <t>Revenue Growth (%)</t>
  </si>
  <si>
    <t>ROA (%)</t>
  </si>
  <si>
    <t>NDTS (%)</t>
  </si>
  <si>
    <t>YoY Change (D/E)</t>
  </si>
  <si>
    <t>—</t>
  </si>
  <si>
    <t xml:space="preserve">  SECTION B: Source of Financing — Polycab India</t>
  </si>
  <si>
    <t>Equity Capital (INR Cr)</t>
  </si>
  <si>
    <t>Retained Earnings (INR Cr)</t>
  </si>
  <si>
    <t>Long-Term Borrowings (INR Cr)</t>
  </si>
  <si>
    <t>Short-Term Borrowings (INR Cr)</t>
  </si>
  <si>
    <t>Total Debt (INR Cr)</t>
  </si>
  <si>
    <t>Debt as % of Total Capital</t>
  </si>
  <si>
    <t xml:space="preserve">  SECTION C: EBIT-EPS Analysis — Polycab India</t>
  </si>
  <si>
    <t>EBIT (INR Cr)</t>
  </si>
  <si>
    <t>Interest Expense (INR Cr)</t>
  </si>
  <si>
    <t>EBT (EBIT - Interest)</t>
  </si>
  <si>
    <t>Tax (25.17%)</t>
  </si>
  <si>
    <t>EAT (Earnings After Tax)</t>
  </si>
  <si>
    <t>No. of Shares (Cr)</t>
  </si>
  <si>
    <t>EPS (INR)</t>
  </si>
  <si>
    <t>Financial Leverage (FL)</t>
  </si>
  <si>
    <t>CORRELATION MATRIX — Pearson Correlations Among Variables</t>
  </si>
  <si>
    <t>Color Scale: ■ Dark Red = Strong Negative (≤ -0.7)  ■ Light Red = Moderate Neg (≤ -0.3)  ■ Light Blue = Moderate Positive (≥ 0.3)  ■ Dark Blue = Strong Positive (≥ 0.7)  ■ Blue = Perfect (=1)</t>
  </si>
  <si>
    <t xml:space="preserve">  KEY CORRELATION INSIGHTS</t>
  </si>
  <si>
    <t>Capital Structure vs ROA</t>
  </si>
  <si>
    <t>Very Strong Negative — More profitable → Less debt</t>
  </si>
  <si>
    <t>Capital Structure vs ICR Log</t>
  </si>
  <si>
    <t>Strong Negative — Higher coverage → Less leverage</t>
  </si>
  <si>
    <t>Capital Structure vs Firm Size</t>
  </si>
  <si>
    <t>Strong Negative — Larger firms → Less leverage</t>
  </si>
  <si>
    <t>Tangibility vs NDTS</t>
  </si>
  <si>
    <t>Very Strong Positive — Fixed assets linked to depreciation shield</t>
  </si>
  <si>
    <t>ROA vs ICR Log</t>
  </si>
  <si>
    <t>Strong Positive — Profitable firms cover interest better</t>
  </si>
  <si>
    <t>Revenue Growth vs Others</t>
  </si>
  <si>
    <t>~0</t>
  </si>
  <si>
    <t>Near Zero — Growth has no strong linear relationship with leverage</t>
  </si>
  <si>
    <t>✅ FORMULA VALIDATION — Excel CORREL() cross-check (pulls live from Panel Data)</t>
  </si>
  <si>
    <t>Pair</t>
  </si>
  <si>
    <t>CORREL() Formula</t>
  </si>
  <si>
    <t>Live Result</t>
  </si>
  <si>
    <t>EViews Value</t>
  </si>
  <si>
    <t>CS vs Firm Size</t>
  </si>
  <si>
    <t>CS vs Tangibility</t>
  </si>
  <si>
    <t>CS vs ROA</t>
  </si>
  <si>
    <t>CS vs ICR Log</t>
  </si>
  <si>
    <t>CS vs Rev Growth</t>
  </si>
  <si>
    <t>CS vs NDTS</t>
  </si>
  <si>
    <t>PANEL REGRESSION RESULTS — Determinants of Capital Structure</t>
  </si>
  <si>
    <t>Dependent Variable</t>
  </si>
  <si>
    <t>Capital Structure (D/E Ratio)</t>
  </si>
  <si>
    <t>Method</t>
  </si>
  <si>
    <t>Panel Least Squares (Cross-Section Fixed Effects)</t>
  </si>
  <si>
    <t>Sample Period</t>
  </si>
  <si>
    <t>FY2018 – FY2025</t>
  </si>
  <si>
    <t>Companies (Cross-sections)</t>
  </si>
  <si>
    <t>6</t>
  </si>
  <si>
    <t>Total Observations</t>
  </si>
  <si>
    <t>48 (Balanced Panel)</t>
  </si>
  <si>
    <t>Prob.</t>
  </si>
  <si>
    <t>Significance &amp; Interpretation</t>
  </si>
  <si>
    <t>Not significant at 10% level</t>
  </si>
  <si>
    <t>Not significant — Debt service capacity not primary driver</t>
  </si>
  <si>
    <t>Not significant — Growth rate doesn't affect leverage</t>
  </si>
  <si>
    <t xml:space="preserve">  MODEL FIT &amp; DIAGNOSTIC STATISTICS</t>
  </si>
  <si>
    <t>Adjusted R-Squared</t>
  </si>
  <si>
    <t>S.E. of Regression</t>
  </si>
  <si>
    <t>Sum Sq. Resid.</t>
  </si>
  <si>
    <t>Prob(F-statistic)</t>
  </si>
  <si>
    <t>Log Likelihood</t>
  </si>
  <si>
    <t>Durbin-Watson Stat</t>
  </si>
  <si>
    <t>Akaike Info Criterion</t>
  </si>
  <si>
    <t>Schwarz Criterion</t>
  </si>
  <si>
    <t xml:space="preserve">  INTERPRETATION &amp; THEORY ALIGNMENT</t>
  </si>
  <si>
    <t>Theory</t>
  </si>
  <si>
    <t>Evidence</t>
  </si>
  <si>
    <t>Explanation</t>
  </si>
  <si>
    <t>Trade-Off Theory</t>
  </si>
  <si>
    <t>Confirmed</t>
  </si>
  <si>
    <t>Firm Size (−0.65) — Larger firms with lower bankruptcy risk use less debt</t>
  </si>
  <si>
    <t>Pecking Order Theory</t>
  </si>
  <si>
    <t>Supported</t>
  </si>
  <si>
    <t>ROA (−3.57) — Profitable firms prefer retained earnings over debt</t>
  </si>
  <si>
    <t>Agency Cost Theory</t>
  </si>
  <si>
    <t>Partial</t>
  </si>
  <si>
    <t>NDTS (−49.78) — Depreciation tax shield reduces incentive for debt tax shield</t>
  </si>
  <si>
    <t>Market Timing Theory</t>
  </si>
  <si>
    <t>Not Supported</t>
  </si>
  <si>
    <t>Revenue Growth (−0.04, p=0.77) — No significant timing effect</t>
  </si>
  <si>
    <t xml:space="preserve">  Data: D/E Ratio — All Companies (FY2018–FY2025)</t>
  </si>
  <si>
    <t xml:space="preserve">  Data: ROA (%) — All Companies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</si>
  <si>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</si>
  <si>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</si>
  <si>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</si>
  <si>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</si>
  <si>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</si>
  <si>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</si>
  <si>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</si>
  <si>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</si>
  <si>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 Data: ICR — All Companies (FY2018–FY2025)</t>
  </si>
  <si>
    <t xml:space="preserve">  Data: Revenue Growth — Polycab India</t>
  </si>
  <si>
    <t xml:space="preserve">  Data: EBIT &amp; EPS — Polycab India</t>
  </si>
  <si>
    <t>value</t>
  </si>
  <si>
    <t xml:space="preserve">  D/E Ratio — Year-on-Year Change </t>
  </si>
  <si>
    <t>Polycab India &amp; Industry Comparison</t>
  </si>
  <si>
    <t xml:space="preserve"> p&lt;0.01 — Strong positive intercept</t>
  </si>
  <si>
    <t xml:space="preserve"> p&lt;0.01 — Larger firms USE LESS debt (Trade-off Theory)</t>
  </si>
  <si>
    <t xml:space="preserve"> p&lt;0.01 — Depreciation shield substitutes debt</t>
  </si>
  <si>
    <t xml:space="preserve"> p&lt;0.10 — Profitable firms prefer internal funds (Pecking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</si>
</sst>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\x"/>
    <numFmt numFmtId="167" formatCode="0.000"/>
  </numFmts>
  <fonts count="36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D1B2A"/>
      <name val="Calibri"/>
      <family val="2"/>
    </font>
    <font>
      <sz val="9"/>
      <color rgb="FF2C3E50"/>
      <name val="Calibri"/>
      <family val="2"/>
    </font>
    <font>
      <i/>
      <sz val="8"/>
      <color rgb="FF117A65"/>
      <name val="Calibri"/>
      <family val="2"/>
    </font>
    <font>
      <b/>
      <sz val="9"/>
      <color rgb="FFD35400"/>
      <name val="Calibri"/>
      <family val="2"/>
    </font>
    <font>
      <b/>
      <sz val="9"/>
      <color rgb="FF1E8449"/>
      <name val="Calibri"/>
      <family val="2"/>
    </font>
    <font>
      <b/>
      <sz val="9"/>
      <color rgb="FF117A65"/>
      <name val="Calibri"/>
      <family val="2"/>
    </font>
    <font>
      <b/>
      <sz val="11"/>
      <color rgb="FFFFFFFF"/>
      <name val="Calibri"/>
      <family val="2"/>
    </font>
    <font>
      <sz val="9"/>
      <color rgb="FF0D1B2A"/>
      <name val="Calibri"/>
      <family val="2"/>
    </font>
    <font>
      <sz val="9"/>
      <color rgb="FF117A65"/>
      <name val="Calibri"/>
      <family val="2"/>
    </font>
    <font>
      <i/>
      <sz val="9"/>
      <color rgb="FF0D1B2A"/>
      <name val="Calibri"/>
      <family val="2"/>
    </font>
    <font>
      <b/>
      <sz val="13"/>
      <color rgb="FFFFFFFF"/>
      <name val="Calibri"/>
      <family val="2"/>
    </font>
    <font>
      <b/>
      <sz val="24"/>
      <color rgb="FFD4AC0D"/>
      <name val="Calibri"/>
      <family val="2"/>
    </font>
    <font>
      <i/>
      <sz val="12"/>
      <color rgb="FFAED6F1"/>
      <name val="Calibri"/>
      <family val="2"/>
    </font>
    <font>
      <sz val="10"/>
      <color rgb="FF717D7E"/>
      <name val="Calibri"/>
      <family val="2"/>
    </font>
    <font>
      <b/>
      <sz val="12"/>
      <color rgb="FFFFFFFF"/>
      <name val="Calibri"/>
      <family val="2"/>
    </font>
    <font>
      <sz val="9"/>
      <color rgb="FFFFFFFF"/>
      <name val="Calibri"/>
      <family val="2"/>
    </font>
    <font>
      <b/>
      <sz val="16"/>
      <color rgb="FF2E86C1"/>
      <name val="Calibri"/>
      <family val="2"/>
    </font>
    <font>
      <b/>
      <sz val="16"/>
      <color rgb="FF117A65"/>
      <name val="Calibri"/>
      <family val="2"/>
    </font>
    <font>
      <b/>
      <sz val="16"/>
      <color rgb="FF1E8449"/>
      <name val="Calibri"/>
      <family val="2"/>
    </font>
    <font>
      <b/>
      <sz val="16"/>
      <color rgb="FFD35400"/>
      <name val="Calibri"/>
      <family val="2"/>
    </font>
    <font>
      <b/>
      <sz val="16"/>
      <color rgb="FF1B4F72"/>
      <name val="Calibri"/>
      <family val="2"/>
    </font>
    <font>
      <b/>
      <sz val="16"/>
      <color rgb="FF0D1B2A"/>
      <name val="Calibri"/>
      <family val="2"/>
    </font>
    <font>
      <b/>
      <sz val="9"/>
      <color rgb="FF2C3E50"/>
      <name val="Calibri"/>
      <family val="2"/>
    </font>
    <font>
      <sz val="9"/>
      <color rgb="FF1E8449"/>
      <name val="Calibri"/>
      <family val="2"/>
    </font>
    <font>
      <sz val="9"/>
      <color rgb="FFD35400"/>
      <name val="Calibri"/>
      <family val="2"/>
    </font>
    <font>
      <sz val="9"/>
      <color rgb="FF717D7E"/>
      <name val="Calibri"/>
      <family val="2"/>
    </font>
    <font>
      <i/>
      <sz val="10"/>
      <color rgb="FF0D1B2A"/>
      <name val="Calibri"/>
      <family val="2"/>
    </font>
    <font>
      <b/>
      <sz val="10"/>
      <color rgb="FFFFFFFF"/>
      <name val="Calibri"/>
      <family val="2"/>
    </font>
    <font>
      <i/>
      <sz val="9"/>
      <color rgb="FF2C3E50"/>
      <name val="Calibri"/>
      <family val="2"/>
    </font>
    <font>
      <b/>
      <sz val="9"/>
      <color rgb="FF2E86C1"/>
      <name val="Calibri"/>
      <family val="2"/>
    </font>
    <font>
      <sz val="9"/>
      <color rgb="FF2E86C1"/>
      <name val="Calibri"/>
      <family val="2"/>
    </font>
    <font>
      <b/>
      <sz val="9"/>
      <color rgb="FF717D7E"/>
      <name val="Calibri"/>
      <family val="2"/>
    </font>
    <font>
      <b/>
      <sz val="9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1A5276"/>
      </patternFill>
    </fill>
    <fill>
      <patternFill patternType="solid">
        <fgColor rgb="FFF2F3F4"/>
        <bgColor rgb="FFF9F9F9"/>
      </patternFill>
    </fill>
    <fill>
      <patternFill patternType="solid">
        <fgColor rgb="FFF9E79F"/>
        <bgColor rgb="FFFFCC99"/>
      </patternFill>
    </fill>
    <fill>
      <patternFill patternType="solid">
        <fgColor rgb="FFFFFFFF"/>
        <bgColor rgb="FFF9F9F9"/>
      </patternFill>
    </fill>
    <fill>
      <patternFill patternType="solid">
        <fgColor rgb="FF117A65"/>
        <bgColor rgb="FF1E8449"/>
      </patternFill>
    </fill>
    <fill>
      <patternFill patternType="solid">
        <fgColor rgb="FFD4AC0D"/>
        <bgColor rgb="FFFFCC00"/>
      </patternFill>
    </fill>
    <fill>
      <patternFill patternType="solid">
        <fgColor rgb="FF2E86C1"/>
        <bgColor rgb="FF2980B9"/>
      </patternFill>
    </fill>
    <fill>
      <patternFill patternType="solid">
        <fgColor rgb="FF1E8449"/>
        <bgColor rgb="FF117A65"/>
      </patternFill>
    </fill>
    <fill>
      <patternFill patternType="solid">
        <fgColor rgb="FFD35400"/>
        <bgColor rgb="FFE74C3C"/>
      </patternFill>
    </fill>
    <fill>
      <patternFill patternType="solid">
        <fgColor rgb="FFA9DFBF"/>
        <bgColor rgb="FFAED6F1"/>
      </patternFill>
    </fill>
    <fill>
      <patternFill patternType="solid">
        <fgColor rgb="FFE74C3C"/>
        <bgColor rgb="FFD35400"/>
      </patternFill>
    </fill>
    <fill>
      <patternFill patternType="solid">
        <fgColor rgb="FFF1948A"/>
        <bgColor rgb="FFFF99CC"/>
      </patternFill>
    </fill>
    <fill>
      <patternFill patternType="solid">
        <fgColor rgb="FFC0392B"/>
        <bgColor rgb="FFE74C3C"/>
      </patternFill>
    </fill>
    <fill>
      <patternFill patternType="solid">
        <fgColor rgb="FF2980B9"/>
        <bgColor rgb="FF2E86C1"/>
      </patternFill>
    </fill>
    <fill>
      <patternFill patternType="solid">
        <fgColor rgb="FF85C1E9"/>
        <bgColor rgb="FFAED6F1"/>
      </patternFill>
    </fill>
    <fill>
      <patternFill patternType="solid">
        <fgColor rgb="FF1A5276"/>
        <bgColor rgb="FF1B4F72"/>
      </patternFill>
    </fill>
    <fill>
      <patternFill patternType="solid">
        <fgColor rgb="FFAED6F1"/>
        <bgColor rgb="FFA9DFBF"/>
      </patternFill>
    </fill>
  </fills>
  <borders count="4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B4F72"/>
      </left>
      <right/>
      <top style="medium">
        <color rgb="FF1B4F72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8" fillId="9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/>
    </xf>
    <xf numFmtId="0" fontId="0" fillId="8" borderId="0" xfId="0" applyFill="1"/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5" borderId="3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2" fontId="10" fillId="5" borderId="2" xfId="0" applyNumberFormat="1" applyFont="1" applyFill="1" applyBorder="1" applyAlignment="1">
      <alignment horizontal="center" vertical="center"/>
    </xf>
    <xf numFmtId="10" fontId="10" fillId="5" borderId="2" xfId="0" applyNumberFormat="1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10" fontId="4" fillId="6" borderId="2" xfId="0" applyNumberFormat="1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165" fontId="11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5" fontId="7" fillId="4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0" fontId="0" fillId="8" borderId="0" xfId="0" applyFill="1"/>
    <xf numFmtId="164" fontId="11" fillId="4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0" fontId="11" fillId="4" borderId="2" xfId="0" applyNumberFormat="1" applyFont="1" applyFill="1" applyBorder="1" applyAlignment="1">
      <alignment horizontal="center" vertical="center"/>
    </xf>
    <xf numFmtId="2" fontId="11" fillId="6" borderId="2" xfId="0" applyNumberFormat="1" applyFont="1" applyFill="1" applyBorder="1" applyAlignment="1">
      <alignment horizontal="center" vertical="center"/>
    </xf>
    <xf numFmtId="10" fontId="11" fillId="6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10" fontId="26" fillId="12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3" fontId="11" fillId="4" borderId="2" xfId="0" applyNumberFormat="1" applyFont="1" applyFill="1" applyBorder="1" applyAlignment="1">
      <alignment horizontal="center" vertical="center"/>
    </xf>
    <xf numFmtId="2" fontId="11" fillId="4" borderId="2" xfId="0" applyNumberFormat="1" applyFont="1" applyFill="1" applyBorder="1" applyAlignment="1">
      <alignment horizontal="center" vertical="center"/>
    </xf>
    <xf numFmtId="165" fontId="2" fillId="9" borderId="2" xfId="0" applyNumberFormat="1" applyFont="1" applyFill="1" applyBorder="1" applyAlignment="1">
      <alignment horizontal="center" vertical="center"/>
    </xf>
    <xf numFmtId="165" fontId="18" fillId="13" borderId="2" xfId="0" applyNumberFormat="1" applyFont="1" applyFill="1" applyBorder="1" applyAlignment="1">
      <alignment horizontal="center" vertical="center"/>
    </xf>
    <xf numFmtId="165" fontId="4" fillId="14" borderId="2" xfId="0" applyNumberFormat="1" applyFont="1" applyFill="1" applyBorder="1" applyAlignment="1">
      <alignment horizontal="center" vertical="center"/>
    </xf>
    <xf numFmtId="165" fontId="18" fillId="15" borderId="2" xfId="0" applyNumberFormat="1" applyFont="1" applyFill="1" applyBorder="1" applyAlignment="1">
      <alignment horizontal="center" vertical="center"/>
    </xf>
    <xf numFmtId="165" fontId="18" fillId="16" borderId="2" xfId="0" applyNumberFormat="1" applyFont="1" applyFill="1" applyBorder="1" applyAlignment="1">
      <alignment horizontal="center" vertical="center"/>
    </xf>
    <xf numFmtId="165" fontId="4" fillId="17" borderId="2" xfId="0" applyNumberFormat="1" applyFont="1" applyFill="1" applyBorder="1" applyAlignment="1">
      <alignment horizontal="center" vertical="center"/>
    </xf>
    <xf numFmtId="165" fontId="18" fillId="18" borderId="2" xfId="0" applyNumberFormat="1" applyFont="1" applyFill="1" applyBorder="1" applyAlignment="1">
      <alignment horizontal="center" vertical="center"/>
    </xf>
    <xf numFmtId="165" fontId="33" fillId="4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33" fillId="6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27" fillId="6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left" vertical="center"/>
    </xf>
    <xf numFmtId="0" fontId="28" fillId="6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165" fontId="32" fillId="4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165" fontId="32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164" fontId="11" fillId="5" borderId="2" xfId="0" applyNumberFormat="1" applyFont="1" applyFill="1" applyBorder="1" applyAlignment="1">
      <alignment horizontal="center" vertical="center"/>
    </xf>
    <xf numFmtId="10" fontId="11" fillId="5" borderId="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2" fontId="11" fillId="5" borderId="2" xfId="0" applyNumberFormat="1" applyFont="1" applyFill="1" applyBorder="1" applyAlignment="1">
      <alignment horizontal="center" vertical="center"/>
    </xf>
    <xf numFmtId="0" fontId="35" fillId="12" borderId="0" xfId="0" applyFont="1" applyFill="1" applyAlignment="1">
      <alignment horizontal="left" vertical="center"/>
    </xf>
    <xf numFmtId="10" fontId="11" fillId="12" borderId="2" xfId="0" applyNumberFormat="1" applyFont="1" applyFill="1" applyBorder="1" applyAlignment="1">
      <alignment horizontal="center" vertical="center"/>
    </xf>
    <xf numFmtId="0" fontId="35" fillId="19" borderId="0" xfId="0" applyFont="1" applyFill="1" applyAlignment="1">
      <alignment horizontal="left" vertical="center"/>
    </xf>
    <xf numFmtId="164" fontId="11" fillId="19" borderId="2" xfId="0" applyNumberFormat="1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164" fontId="19" fillId="4" borderId="0" xfId="0" applyNumberFormat="1" applyFont="1" applyFill="1" applyAlignment="1">
      <alignment horizontal="center" vertical="center"/>
    </xf>
    <xf numFmtId="2" fontId="20" fillId="4" borderId="0" xfId="0" applyNumberFormat="1" applyFont="1" applyFill="1" applyAlignment="1">
      <alignment horizontal="center" vertical="center"/>
    </xf>
    <xf numFmtId="10" fontId="21" fillId="4" borderId="0" xfId="0" applyNumberFormat="1" applyFont="1" applyFill="1" applyAlignment="1">
      <alignment horizontal="center" vertical="center"/>
    </xf>
    <xf numFmtId="166" fontId="22" fillId="4" borderId="0" xfId="0" applyNumberFormat="1" applyFont="1" applyFill="1" applyAlignment="1">
      <alignment horizontal="center" vertical="center"/>
    </xf>
    <xf numFmtId="10" fontId="23" fillId="4" borderId="0" xfId="0" applyNumberFormat="1" applyFont="1" applyFill="1" applyAlignment="1">
      <alignment horizontal="center" vertical="center"/>
    </xf>
    <xf numFmtId="10" fontId="24" fillId="4" borderId="0" xfId="0" applyNumberFormat="1" applyFont="1" applyFill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/>
    </xf>
    <xf numFmtId="0" fontId="30" fillId="7" borderId="2" xfId="0" applyFont="1" applyFill="1" applyBorder="1" applyAlignment="1">
      <alignment horizontal="left" vertical="center"/>
    </xf>
    <xf numFmtId="0" fontId="31" fillId="4" borderId="0" xfId="0" applyFont="1" applyFill="1" applyAlignment="1">
      <alignment horizontal="left" vertical="center" wrapText="1"/>
    </xf>
    <xf numFmtId="0" fontId="30" fillId="2" borderId="2" xfId="0" applyFont="1" applyFill="1" applyBorder="1" applyAlignment="1">
      <alignment horizontal="left" vertical="center"/>
    </xf>
    <xf numFmtId="167" fontId="32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7" fontId="32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32" fillId="6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32" fillId="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BDBD"/>
      <rgbColor rgb="FF878787"/>
      <rgbColor rgb="FF85C1E9"/>
      <rgbColor rgb="FF8E44AD"/>
      <rgbColor rgb="FFF9F9F9"/>
      <rgbColor rgb="FFF2F3F4"/>
      <rgbColor rgb="FF660066"/>
      <rgbColor rgb="FFF1948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A9DFBF"/>
      <rgbColor rgb="FFF9E79F"/>
      <rgbColor rgb="FFAED6F1"/>
      <rgbColor rgb="FFFF99CC"/>
      <rgbColor rgb="FFCC99FF"/>
      <rgbColor rgb="FFFFCC99"/>
      <rgbColor rgb="FF2E86C1"/>
      <rgbColor rgb="FF33CCCC"/>
      <rgbColor rgb="FF99CC00"/>
      <rgbColor rgb="FFFFCC00"/>
      <rgbColor rgb="FFD4AC0D"/>
      <rgbColor rgb="FFD35400"/>
      <rgbColor rgb="FF5D6D7E"/>
      <rgbColor rgb="FF717D7E"/>
      <rgbColor rgb="FF1B4F72"/>
      <rgbColor rgb="FF1E8449"/>
      <rgbColor rgb="FF0D1B2A"/>
      <rgbColor rgb="FF333300"/>
      <rgbColor rgb="FFC0392B"/>
      <rgbColor rgb="FFE74C3C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Capital Structure (D/E Ratio) — Industry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Polycab India</c:v>
          </c:tx>
          <c:spPr>
            <a:solidFill>
              <a:srgbClr val="2E86C1"/>
            </a:solidFill>
            <a:ln w="9360">
              <a:solidFill>
                <a:srgbClr val="2E86C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comparison!$C$4:$J$4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comparison!$C$5:$J$5</c:f>
              <c:numCache>
                <c:formatCode>0.0000</c:formatCode>
                <c:ptCount val="8"/>
                <c:pt idx="0">
                  <c:v>0.13589999999999999</c:v>
                </c:pt>
                <c:pt idx="1">
                  <c:v>5.1299999999999998E-2</c:v>
                </c:pt>
                <c:pt idx="2">
                  <c:v>2.06E-2</c:v>
                </c:pt>
                <c:pt idx="3">
                  <c:v>1.1900000000000001E-2</c:v>
                </c:pt>
                <c:pt idx="4">
                  <c:v>9.4000000000000004E-3</c:v>
                </c:pt>
                <c:pt idx="5">
                  <c:v>7.4000000000000003E-3</c:v>
                </c:pt>
                <c:pt idx="6">
                  <c:v>3.8999999999999998E-3</c:v>
                </c:pt>
                <c:pt idx="7">
                  <c:v>3.0999999999999999E-3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5-4399-95DA-F940C2CF8FE6}"/>
            </c:ext>
          </c:extLst>
        </c:ser>
        <c:ser>
          <c:idx val="1"/>
          <c:order val="1"/>
          <c:tx>
            <c:v>KEI Industries</c:v>
          </c:tx>
          <c:spPr>
            <a:solidFill>
              <a:srgbClr val="1E8449"/>
            </a:solidFill>
            <a:ln w="9360">
              <a:solidFill>
                <a:srgbClr val="1E844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comparison!$C$4:$J$4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comparison!$C$6:$J$6</c:f>
              <c:numCache>
                <c:formatCode>0.0000</c:formatCode>
                <c:ptCount val="8"/>
                <c:pt idx="0">
                  <c:v>1.3916999999999999</c:v>
                </c:pt>
                <c:pt idx="1">
                  <c:v>0.76990000000000003</c:v>
                </c:pt>
                <c:pt idx="2">
                  <c:v>0.24349999999999999</c:v>
                </c:pt>
                <c:pt idx="3">
                  <c:v>0.18770000000000001</c:v>
                </c:pt>
                <c:pt idx="4">
                  <c:v>0.16619999999999999</c:v>
                </c:pt>
                <c:pt idx="5">
                  <c:v>6.2600000000000003E-2</c:v>
                </c:pt>
                <c:pt idx="6">
                  <c:v>5.2699999999999997E-2</c:v>
                </c:pt>
                <c:pt idx="7">
                  <c:v>3.7499999999999999E-2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5-4399-95DA-F940C2CF8FE6}"/>
            </c:ext>
          </c:extLst>
        </c:ser>
        <c:ser>
          <c:idx val="2"/>
          <c:order val="2"/>
          <c:tx>
            <c:v>Finolex Cables</c:v>
          </c:tx>
          <c:spPr>
            <a:solidFill>
              <a:srgbClr val="D35400"/>
            </a:solidFill>
            <a:ln w="9360">
              <a:solidFill>
                <a:srgbClr val="D354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comparison!$C$4:$J$4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comparison!$C$7:$J$7</c:f>
              <c:numCache>
                <c:formatCode>0.0000</c:formatCode>
                <c:ptCount val="8"/>
                <c:pt idx="0">
                  <c:v>2.9999999999999997E-4</c:v>
                </c:pt>
                <c:pt idx="1">
                  <c:v>2.0000000000000001E-4</c:v>
                </c:pt>
                <c:pt idx="2">
                  <c:v>2.0000000000000001E-4</c:v>
                </c:pt>
                <c:pt idx="3">
                  <c:v>1E-4</c:v>
                </c:pt>
                <c:pt idx="4">
                  <c:v>1E-4</c:v>
                </c:pt>
                <c:pt idx="5">
                  <c:v>1E-4</c:v>
                </c:pt>
                <c:pt idx="6">
                  <c:v>2.9999999999999997E-4</c:v>
                </c:pt>
                <c:pt idx="7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5-4399-95DA-F940C2CF8FE6}"/>
            </c:ext>
          </c:extLst>
        </c:ser>
        <c:ser>
          <c:idx val="3"/>
          <c:order val="3"/>
          <c:tx>
            <c:v>RR Kabel</c:v>
          </c:tx>
          <c:spPr>
            <a:solidFill>
              <a:srgbClr val="8E44AD"/>
            </a:solidFill>
            <a:ln w="9360">
              <a:solidFill>
                <a:srgbClr val="8E44A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comparison!$C$4:$J$4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comparison!$C$8:$J$8</c:f>
              <c:numCache>
                <c:formatCode>0.0000</c:formatCode>
                <c:ptCount val="8"/>
                <c:pt idx="0">
                  <c:v>0.79449999999999998</c:v>
                </c:pt>
                <c:pt idx="1">
                  <c:v>0.34510000000000002</c:v>
                </c:pt>
                <c:pt idx="2">
                  <c:v>0.4425</c:v>
                </c:pt>
                <c:pt idx="3">
                  <c:v>0.48420000000000002</c:v>
                </c:pt>
                <c:pt idx="4">
                  <c:v>0.4264</c:v>
                </c:pt>
                <c:pt idx="5">
                  <c:v>0.40849999999999997</c:v>
                </c:pt>
                <c:pt idx="6">
                  <c:v>0.19689999999999999</c:v>
                </c:pt>
                <c:pt idx="7">
                  <c:v>0.13469999999999999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95-4399-95DA-F940C2CF8FE6}"/>
            </c:ext>
          </c:extLst>
        </c:ser>
        <c:ser>
          <c:idx val="4"/>
          <c:order val="4"/>
          <c:tx>
            <c:v>Havells India</c:v>
          </c:tx>
          <c:spPr>
            <a:solidFill>
              <a:srgbClr val="C0392B"/>
            </a:solidFill>
            <a:ln w="9360">
              <a:solidFill>
                <a:srgbClr val="C0392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comparison!$C$4:$J$4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comparison!$C$9:$J$9</c:f>
              <c:numCache>
                <c:formatCode>0.0000</c:formatCode>
                <c:ptCount val="8"/>
                <c:pt idx="0">
                  <c:v>0</c:v>
                </c:pt>
                <c:pt idx="1">
                  <c:v>1.44E-2</c:v>
                </c:pt>
                <c:pt idx="2">
                  <c:v>0</c:v>
                </c:pt>
                <c:pt idx="3">
                  <c:v>0.1231</c:v>
                </c:pt>
                <c:pt idx="4">
                  <c:v>8.4699999999999998E-2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95-4399-95DA-F940C2CF8FE6}"/>
            </c:ext>
          </c:extLst>
        </c:ser>
        <c:ser>
          <c:idx val="5"/>
          <c:order val="5"/>
          <c:tx>
            <c:v>Universal Cables</c:v>
          </c:tx>
          <c:spPr>
            <a:solidFill>
              <a:srgbClr val="117A65"/>
            </a:solidFill>
            <a:ln w="9360">
              <a:solidFill>
                <a:srgbClr val="117A6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comparison!$C$4:$J$4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comparison!$C$10:$J$10</c:f>
              <c:numCache>
                <c:formatCode>0.0000</c:formatCode>
                <c:ptCount val="8"/>
                <c:pt idx="0">
                  <c:v>0.47189999999999999</c:v>
                </c:pt>
                <c:pt idx="1">
                  <c:v>0.54149999999999998</c:v>
                </c:pt>
                <c:pt idx="2">
                  <c:v>0.62729999999999997</c:v>
                </c:pt>
                <c:pt idx="3">
                  <c:v>0.53610000000000002</c:v>
                </c:pt>
                <c:pt idx="4">
                  <c:v>0.53590000000000004</c:v>
                </c:pt>
                <c:pt idx="5">
                  <c:v>0.43890000000000001</c:v>
                </c:pt>
                <c:pt idx="6">
                  <c:v>0.43440000000000001</c:v>
                </c:pt>
                <c:pt idx="7">
                  <c:v>0.47910000000000003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95-4399-95DA-F940C2CF8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817841"/>
        <c:axId val="37119642"/>
      </c:barChart>
      <c:catAx>
        <c:axId val="81817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19642"/>
        <c:crosses val="autoZero"/>
        <c:auto val="1"/>
        <c:lblAlgn val="ctr"/>
        <c:lblOffset val="100"/>
        <c:noMultiLvlLbl val="0"/>
      </c:catAx>
      <c:valAx>
        <c:axId val="37119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D/E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817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 on Assets (ROA) — Industry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Polycab India</c:v>
          </c:tx>
          <c:spPr>
            <a:ln w="2988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comparison!$M$4:$T$4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comparison!$M$5:$T$5</c:f>
              <c:numCache>
                <c:formatCode>0.00%</c:formatCode>
                <c:ptCount val="8"/>
                <c:pt idx="0">
                  <c:v>8.5900000000000004E-2</c:v>
                </c:pt>
                <c:pt idx="1">
                  <c:v>8.9700000000000002E-2</c:v>
                </c:pt>
                <c:pt idx="2">
                  <c:v>0.1169</c:v>
                </c:pt>
                <c:pt idx="3">
                  <c:v>0.1143</c:v>
                </c:pt>
                <c:pt idx="4">
                  <c:v>0.1208</c:v>
                </c:pt>
                <c:pt idx="5">
                  <c:v>0.12139999999999999</c:v>
                </c:pt>
                <c:pt idx="6">
                  <c:v>0.13389999999999999</c:v>
                </c:pt>
                <c:pt idx="7">
                  <c:v>0.12570000000000001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78-4EC8-9166-D90FBB217A54}"/>
            </c:ext>
          </c:extLst>
        </c:ser>
        <c:ser>
          <c:idx val="1"/>
          <c:order val="1"/>
          <c:tx>
            <c:v>KEI Industries</c:v>
          </c:tx>
          <c:spPr>
            <a:ln w="1512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comparison!$M$4:$T$4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comparison!$M$6:$T$6</c:f>
              <c:numCache>
                <c:formatCode>0.00%</c:formatCode>
                <c:ptCount val="8"/>
                <c:pt idx="0">
                  <c:v>6.5299999999999997E-2</c:v>
                </c:pt>
                <c:pt idx="1">
                  <c:v>6.5500000000000003E-2</c:v>
                </c:pt>
                <c:pt idx="2">
                  <c:v>7.8299999999999995E-2</c:v>
                </c:pt>
                <c:pt idx="3">
                  <c:v>8.9800000000000005E-2</c:v>
                </c:pt>
                <c:pt idx="4">
                  <c:v>0.1066</c:v>
                </c:pt>
                <c:pt idx="5">
                  <c:v>0.1265</c:v>
                </c:pt>
                <c:pt idx="6">
                  <c:v>0.12479999999999999</c:v>
                </c:pt>
                <c:pt idx="7">
                  <c:v>9.6199999999999994E-2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78-4EC8-9166-D90FBB217A54}"/>
            </c:ext>
          </c:extLst>
        </c:ser>
        <c:ser>
          <c:idx val="2"/>
          <c:order val="2"/>
          <c:tx>
            <c:v>Finolex Cables</c:v>
          </c:tx>
          <c:spPr>
            <a:ln w="15120">
              <a:solidFill>
                <a:srgbClr val="D354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comparison!$M$4:$T$4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comparison!$M$7:$T$7</c:f>
              <c:numCache>
                <c:formatCode>0.00%</c:formatCode>
                <c:ptCount val="8"/>
                <c:pt idx="0">
                  <c:v>0.13300000000000001</c:v>
                </c:pt>
                <c:pt idx="1">
                  <c:v>0.1467</c:v>
                </c:pt>
                <c:pt idx="2">
                  <c:v>0.13</c:v>
                </c:pt>
                <c:pt idx="3">
                  <c:v>0.14180000000000001</c:v>
                </c:pt>
                <c:pt idx="4">
                  <c:v>0.1663</c:v>
                </c:pt>
                <c:pt idx="5">
                  <c:v>0.125</c:v>
                </c:pt>
                <c:pt idx="6">
                  <c:v>0.14149999999999999</c:v>
                </c:pt>
                <c:pt idx="7">
                  <c:v>0.1396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78-4EC8-9166-D90FBB217A54}"/>
            </c:ext>
          </c:extLst>
        </c:ser>
        <c:ser>
          <c:idx val="3"/>
          <c:order val="3"/>
          <c:tx>
            <c:v>RR Kabel</c:v>
          </c:tx>
          <c:spPr>
            <a:ln w="15120">
              <a:solidFill>
                <a:srgbClr val="8E44A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comparison!$M$4:$T$4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comparison!$M$8:$T$8</c:f>
              <c:numCache>
                <c:formatCode>0.00%</c:formatCode>
                <c:ptCount val="8"/>
                <c:pt idx="0">
                  <c:v>6.6000000000000003E-2</c:v>
                </c:pt>
                <c:pt idx="1">
                  <c:v>9.2499999999999999E-2</c:v>
                </c:pt>
                <c:pt idx="2">
                  <c:v>7.9000000000000001E-2</c:v>
                </c:pt>
                <c:pt idx="3">
                  <c:v>7.8700000000000006E-2</c:v>
                </c:pt>
                <c:pt idx="4">
                  <c:v>0.1043</c:v>
                </c:pt>
                <c:pt idx="5">
                  <c:v>7.2099999999999997E-2</c:v>
                </c:pt>
                <c:pt idx="6">
                  <c:v>0.10390000000000001</c:v>
                </c:pt>
                <c:pt idx="7">
                  <c:v>8.8700000000000001E-2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978-4EC8-9166-D90FBB217A54}"/>
            </c:ext>
          </c:extLst>
        </c:ser>
        <c:ser>
          <c:idx val="4"/>
          <c:order val="4"/>
          <c:tx>
            <c:v>Havells India</c:v>
          </c:tx>
          <c:spPr>
            <a:ln w="151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comparison!$M$4:$T$4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comparison!$M$9:$T$9</c:f>
              <c:numCache>
                <c:formatCode>0.00%</c:formatCode>
                <c:ptCount val="8"/>
                <c:pt idx="0">
                  <c:v>0.15620000000000001</c:v>
                </c:pt>
                <c:pt idx="1">
                  <c:v>0.16619999999999999</c:v>
                </c:pt>
                <c:pt idx="2">
                  <c:v>0.1221</c:v>
                </c:pt>
                <c:pt idx="3">
                  <c:v>0.1245</c:v>
                </c:pt>
                <c:pt idx="4">
                  <c:v>0.1462</c:v>
                </c:pt>
                <c:pt idx="5">
                  <c:v>0.1565</c:v>
                </c:pt>
                <c:pt idx="6">
                  <c:v>0.161</c:v>
                </c:pt>
                <c:pt idx="7">
                  <c:v>0.1588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978-4EC8-9166-D90FBB217A54}"/>
            </c:ext>
          </c:extLst>
        </c:ser>
        <c:ser>
          <c:idx val="5"/>
          <c:order val="5"/>
          <c:tx>
            <c:v>Universal Cables</c:v>
          </c:tx>
          <c:spPr>
            <a:ln w="15120">
              <a:solidFill>
                <a:srgbClr val="117A6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comparison!$M$4:$T$4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comparison!$M$10:$T$10</c:f>
              <c:numCache>
                <c:formatCode>0.00%</c:formatCode>
                <c:ptCount val="8"/>
                <c:pt idx="0">
                  <c:v>5.4399999999999997E-2</c:v>
                </c:pt>
                <c:pt idx="1">
                  <c:v>7.3499999999999996E-2</c:v>
                </c:pt>
                <c:pt idx="2">
                  <c:v>4.1200000000000001E-2</c:v>
                </c:pt>
                <c:pt idx="3">
                  <c:v>2.8500000000000001E-2</c:v>
                </c:pt>
                <c:pt idx="4">
                  <c:v>2.7199999999999998E-2</c:v>
                </c:pt>
                <c:pt idx="5">
                  <c:v>4.2000000000000003E-2</c:v>
                </c:pt>
                <c:pt idx="6">
                  <c:v>3.2500000000000001E-2</c:v>
                </c:pt>
                <c:pt idx="7">
                  <c:v>2.5999999999999999E-2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978-4EC8-9166-D90FBB21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528428"/>
        <c:axId val="71971474"/>
      </c:lineChart>
      <c:catAx>
        <c:axId val="235284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71474"/>
        <c:crosses val="autoZero"/>
        <c:auto val="1"/>
        <c:lblAlgn val="ctr"/>
        <c:lblOffset val="100"/>
        <c:noMultiLvlLbl val="0"/>
      </c:catAx>
      <c:valAx>
        <c:axId val="71971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28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Interest Coverage Ratio — Polycab vs Peers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Polycab India</c:v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comparison!$C$33:$J$33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comparison!$C$34:$J$34</c:f>
              <c:numCache>
                <c:formatCode>0.00</c:formatCode>
                <c:ptCount val="8"/>
                <c:pt idx="0">
                  <c:v>8.14</c:v>
                </c:pt>
                <c:pt idx="1">
                  <c:v>8.58</c:v>
                </c:pt>
                <c:pt idx="2">
                  <c:v>23.13</c:v>
                </c:pt>
                <c:pt idx="3">
                  <c:v>26.38</c:v>
                </c:pt>
                <c:pt idx="4">
                  <c:v>38.79</c:v>
                </c:pt>
                <c:pt idx="5">
                  <c:v>32.06</c:v>
                </c:pt>
                <c:pt idx="6">
                  <c:v>25.12</c:v>
                </c:pt>
                <c:pt idx="7">
                  <c:v>18.649999999999999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5-48CC-93A2-F9C80747E7D1}"/>
            </c:ext>
          </c:extLst>
        </c:ser>
        <c:ser>
          <c:idx val="1"/>
          <c:order val="1"/>
          <c:tx>
            <c:v>Havells India</c:v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comparison!$C$33:$J$33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comparison!$C$38:$J$38</c:f>
              <c:numCache>
                <c:formatCode>0.00</c:formatCode>
                <c:ptCount val="8"/>
                <c:pt idx="0">
                  <c:v>44.36</c:v>
                </c:pt>
                <c:pt idx="1">
                  <c:v>72.72</c:v>
                </c:pt>
                <c:pt idx="2">
                  <c:v>47.73</c:v>
                </c:pt>
                <c:pt idx="3">
                  <c:v>21.73</c:v>
                </c:pt>
                <c:pt idx="4">
                  <c:v>32.26</c:v>
                </c:pt>
                <c:pt idx="5">
                  <c:v>80.069999999999993</c:v>
                </c:pt>
                <c:pt idx="6">
                  <c:v>65.95</c:v>
                </c:pt>
                <c:pt idx="7">
                  <c:v>68.89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5-48CC-93A2-F9C80747E7D1}"/>
            </c:ext>
          </c:extLst>
        </c:ser>
        <c:ser>
          <c:idx val="2"/>
          <c:order val="2"/>
          <c:tx>
            <c:v>KEI Industries</c:v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comparison!$C$33:$J$33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comparison!$C$35:$J$35</c:f>
              <c:numCache>
                <c:formatCode>0.00</c:formatCode>
                <c:ptCount val="8"/>
                <c:pt idx="0">
                  <c:v>2.82</c:v>
                </c:pt>
                <c:pt idx="1">
                  <c:v>3.04</c:v>
                </c:pt>
                <c:pt idx="2">
                  <c:v>3.54</c:v>
                </c:pt>
                <c:pt idx="3">
                  <c:v>7.33</c:v>
                </c:pt>
                <c:pt idx="4">
                  <c:v>13.7</c:v>
                </c:pt>
                <c:pt idx="5">
                  <c:v>19.34</c:v>
                </c:pt>
                <c:pt idx="6">
                  <c:v>18.75</c:v>
                </c:pt>
                <c:pt idx="7">
                  <c:v>17.73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5-48CC-93A2-F9C80747E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779256"/>
        <c:axId val="52371970"/>
      </c:barChart>
      <c:catAx>
        <c:axId val="32779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71970"/>
        <c:crosses val="autoZero"/>
        <c:auto val="1"/>
        <c:lblAlgn val="ctr"/>
        <c:lblOffset val="100"/>
        <c:noMultiLvlLbl val="0"/>
      </c:catAx>
      <c:valAx>
        <c:axId val="523719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ICR (times)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79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Polycab India — Revenue Growth &amp; D/E Ratio (Dual Indicator)</a:t>
            </a:r>
          </a:p>
        </c:rich>
      </c:tx>
      <c:layout>
        <c:manualLayout>
          <c:xMode val="edge"/>
          <c:yMode val="edge"/>
          <c:x val="0.10483524063002657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Growth (%)</c:v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comparison!$M$33:$T$33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comparison!$M$34:$T$34</c:f>
              <c:numCache>
                <c:formatCode>0.00%</c:formatCode>
                <c:ptCount val="8"/>
                <c:pt idx="0">
                  <c:v>0.14019999999999999</c:v>
                </c:pt>
                <c:pt idx="1">
                  <c:v>0.1227</c:v>
                </c:pt>
                <c:pt idx="2">
                  <c:v>9.2799999999999994E-2</c:v>
                </c:pt>
                <c:pt idx="3">
                  <c:v>-9.2999999999999992E-3</c:v>
                </c:pt>
                <c:pt idx="4">
                  <c:v>0.3871</c:v>
                </c:pt>
                <c:pt idx="5">
                  <c:v>0.15110000000000001</c:v>
                </c:pt>
                <c:pt idx="6">
                  <c:v>0.30919999999999997</c:v>
                </c:pt>
                <c:pt idx="7">
                  <c:v>0.20519999999999999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0-41C6-9840-267BCCC3573F}"/>
            </c:ext>
          </c:extLst>
        </c:ser>
        <c:ser>
          <c:idx val="1"/>
          <c:order val="1"/>
          <c:tx>
            <c:v>D/E Ratio</c:v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comparison!$M$33:$T$33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comparison!$M$35:$T$35</c:f>
              <c:numCache>
                <c:formatCode>0.0000</c:formatCode>
                <c:ptCount val="8"/>
                <c:pt idx="0">
                  <c:v>0.13589999999999999</c:v>
                </c:pt>
                <c:pt idx="1">
                  <c:v>5.1299999999999998E-2</c:v>
                </c:pt>
                <c:pt idx="2">
                  <c:v>2.06E-2</c:v>
                </c:pt>
                <c:pt idx="3">
                  <c:v>1.1900000000000001E-2</c:v>
                </c:pt>
                <c:pt idx="4">
                  <c:v>9.4000000000000004E-3</c:v>
                </c:pt>
                <c:pt idx="5">
                  <c:v>7.4000000000000003E-3</c:v>
                </c:pt>
                <c:pt idx="6">
                  <c:v>3.8999999999999998E-3</c:v>
                </c:pt>
                <c:pt idx="7">
                  <c:v>3.0999999999999999E-3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0-41C6-9840-267BCCC35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0568"/>
        <c:axId val="76547513"/>
      </c:barChart>
      <c:catAx>
        <c:axId val="6890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47513"/>
        <c:crosses val="autoZero"/>
        <c:auto val="1"/>
        <c:lblAlgn val="ctr"/>
        <c:lblOffset val="100"/>
        <c:noMultiLvlLbl val="0"/>
      </c:catAx>
      <c:valAx>
        <c:axId val="76547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90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EBIT vs EPS — Polycab India (FY2018–FY2025)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 (INR Cr)</c:v>
          </c:tx>
          <c:spPr>
            <a:solidFill>
              <a:srgbClr val="1B4F7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comparison!$C$61:$J$61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comparison!$C$62:$J$62</c:f>
              <c:numCache>
                <c:formatCode>#,##0</c:formatCode>
                <c:ptCount val="8"/>
                <c:pt idx="0">
                  <c:v>421</c:v>
                </c:pt>
                <c:pt idx="1">
                  <c:v>502</c:v>
                </c:pt>
                <c:pt idx="2">
                  <c:v>633</c:v>
                </c:pt>
                <c:pt idx="3">
                  <c:v>721</c:v>
                </c:pt>
                <c:pt idx="4">
                  <c:v>1089</c:v>
                </c:pt>
                <c:pt idx="5">
                  <c:v>1256</c:v>
                </c:pt>
                <c:pt idx="6">
                  <c:v>1598</c:v>
                </c:pt>
                <c:pt idx="7">
                  <c:v>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A-418D-9874-83D6CD1FF136}"/>
            </c:ext>
          </c:extLst>
        </c:ser>
        <c:ser>
          <c:idx val="1"/>
          <c:order val="1"/>
          <c:tx>
            <c:v>EPS (INR)</c:v>
          </c:tx>
          <c:spPr>
            <a:solidFill>
              <a:srgbClr val="D4AC0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comparison!$C$61:$J$61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comparison!$C$63:$J$63</c:f>
              <c:numCache>
                <c:formatCode>0.00</c:formatCode>
                <c:ptCount val="8"/>
                <c:pt idx="0">
                  <c:v>18.494487608841261</c:v>
                </c:pt>
                <c:pt idx="1">
                  <c:v>22.203409243134626</c:v>
                </c:pt>
                <c:pt idx="2">
                  <c:v>30.37306095110516</c:v>
                </c:pt>
                <c:pt idx="3">
                  <c:v>34.783670462156735</c:v>
                </c:pt>
                <c:pt idx="4">
                  <c:v>53.177916945746823</c:v>
                </c:pt>
                <c:pt idx="5">
                  <c:v>60.996724715338246</c:v>
                </c:pt>
                <c:pt idx="6">
                  <c:v>76.884943067649033</c:v>
                </c:pt>
                <c:pt idx="7">
                  <c:v>87.861346282652377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A-418D-9874-83D6CD1F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5813"/>
        <c:axId val="15842859"/>
      </c:barChart>
      <c:catAx>
        <c:axId val="145358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42859"/>
        <c:crosses val="autoZero"/>
        <c:auto val="1"/>
        <c:lblAlgn val="ctr"/>
        <c:lblOffset val="100"/>
        <c:noMultiLvlLbl val="0"/>
      </c:catAx>
      <c:valAx>
        <c:axId val="15842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EBIT (INR 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35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11</xdr:row>
      <xdr:rowOff>15240</xdr:rowOff>
    </xdr:from>
    <xdr:to>
      <xdr:col>8</xdr:col>
      <xdr:colOff>106680</xdr:colOff>
      <xdr:row>28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350520</xdr:colOff>
      <xdr:row>12</xdr:row>
      <xdr:rowOff>0</xdr:rowOff>
    </xdr:from>
    <xdr:to>
      <xdr:col>19</xdr:col>
      <xdr:colOff>24480</xdr:colOff>
      <xdr:row>27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60960</xdr:colOff>
      <xdr:row>42</xdr:row>
      <xdr:rowOff>15240</xdr:rowOff>
    </xdr:from>
    <xdr:to>
      <xdr:col>9</xdr:col>
      <xdr:colOff>76200</xdr:colOff>
      <xdr:row>56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259080</xdr:colOff>
      <xdr:row>38</xdr:row>
      <xdr:rowOff>30480</xdr:rowOff>
    </xdr:from>
    <xdr:to>
      <xdr:col>19</xdr:col>
      <xdr:colOff>175260</xdr:colOff>
      <xdr:row>54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9</xdr:col>
      <xdr:colOff>24840</xdr:colOff>
      <xdr:row>90</xdr:row>
      <xdr:rowOff>85680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0"/>
  <sheetViews>
    <sheetView showGridLines="0" zoomScaleNormal="100" workbookViewId="0">
      <selection activeCell="B52" sqref="B52:K52"/>
    </sheetView>
  </sheetViews>
  <sheetFormatPr defaultColWidth="8.6640625" defaultRowHeight="14.4" x14ac:dyDescent="0.3"/>
  <cols>
    <col min="1" max="1" width="2" customWidth="1"/>
    <col min="2" max="2" width="18" customWidth="1"/>
    <col min="3" max="3" width="8" customWidth="1"/>
    <col min="4" max="4" width="18" customWidth="1"/>
    <col min="5" max="5" width="12" customWidth="1"/>
    <col min="6" max="6" width="14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</cols>
  <sheetData>
    <row r="1" spans="2:11" ht="31.5" customHeight="1" x14ac:dyDescent="0.3">
      <c r="B1" s="9" t="s">
        <v>2</v>
      </c>
      <c r="C1" s="9"/>
      <c r="D1" s="9"/>
      <c r="E1" s="9"/>
      <c r="F1" s="9"/>
      <c r="G1" s="9"/>
      <c r="H1" s="9"/>
      <c r="I1" s="9"/>
      <c r="J1" s="9"/>
      <c r="K1" s="9"/>
    </row>
    <row r="2" spans="2:11" ht="36" customHeight="1" x14ac:dyDescent="0.3"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</row>
    <row r="3" spans="2:11" ht="15" customHeight="1" x14ac:dyDescent="0.3">
      <c r="B3" s="12" t="s">
        <v>13</v>
      </c>
      <c r="C3" s="13">
        <v>2018</v>
      </c>
      <c r="D3" s="14">
        <v>0.13589999999999999</v>
      </c>
      <c r="E3" s="15">
        <v>8.5228000000000002</v>
      </c>
      <c r="F3" s="14">
        <v>0.3705</v>
      </c>
      <c r="G3" s="14">
        <v>8.14</v>
      </c>
      <c r="H3" s="16">
        <v>0.14019999999999999</v>
      </c>
      <c r="I3" s="17">
        <v>8.5900000000000004E-2</v>
      </c>
      <c r="J3" s="17">
        <v>3.6200000000000003E-2</v>
      </c>
      <c r="K3" s="18">
        <f t="shared" ref="K3:K50" si="0">IF(H3&gt;0,LN(H3),0)</f>
        <v>-1.9646853043816475</v>
      </c>
    </row>
    <row r="4" spans="2:11" ht="15" customHeight="1" x14ac:dyDescent="0.3">
      <c r="B4" s="12" t="s">
        <v>13</v>
      </c>
      <c r="C4" s="13">
        <v>2019</v>
      </c>
      <c r="D4" s="14">
        <v>5.1299999999999998E-2</v>
      </c>
      <c r="E4" s="15">
        <v>8.69</v>
      </c>
      <c r="F4" s="14">
        <v>0.39860000000000001</v>
      </c>
      <c r="G4" s="14">
        <v>8.58</v>
      </c>
      <c r="H4" s="16">
        <v>0.1227</v>
      </c>
      <c r="I4" s="17">
        <v>8.9700000000000002E-2</v>
      </c>
      <c r="J4" s="17">
        <v>3.3099999999999997E-2</v>
      </c>
      <c r="K4" s="18">
        <f t="shared" si="0"/>
        <v>-2.0980129272652714</v>
      </c>
    </row>
    <row r="5" spans="2:11" ht="15" customHeight="1" x14ac:dyDescent="0.3">
      <c r="B5" s="12" t="s">
        <v>13</v>
      </c>
      <c r="C5" s="13">
        <v>2020</v>
      </c>
      <c r="D5" s="14">
        <v>2.06E-2</v>
      </c>
      <c r="E5" s="15">
        <v>8.8057999999999996</v>
      </c>
      <c r="F5" s="14">
        <v>0.33929999999999999</v>
      </c>
      <c r="G5" s="14">
        <v>23.13</v>
      </c>
      <c r="H5" s="16">
        <v>9.2799999999999994E-2</v>
      </c>
      <c r="I5" s="17">
        <v>0.1169</v>
      </c>
      <c r="J5" s="17">
        <v>3.4200000000000001E-2</v>
      </c>
      <c r="K5" s="18">
        <f t="shared" si="0"/>
        <v>-2.377308639189982</v>
      </c>
    </row>
    <row r="6" spans="2:11" ht="15" customHeight="1" x14ac:dyDescent="0.3">
      <c r="B6" s="12" t="s">
        <v>13</v>
      </c>
      <c r="C6" s="13">
        <v>2021</v>
      </c>
      <c r="D6" s="14">
        <v>1.1900000000000001E-2</v>
      </c>
      <c r="E6" s="15">
        <v>8.8839000000000006</v>
      </c>
      <c r="F6" s="14">
        <v>0.31979999999999997</v>
      </c>
      <c r="G6" s="14">
        <v>26.38</v>
      </c>
      <c r="H6" s="16">
        <v>-9.2999999999999992E-3</v>
      </c>
      <c r="I6" s="17">
        <v>0.1143</v>
      </c>
      <c r="J6" s="17">
        <v>3.5099999999999999E-2</v>
      </c>
      <c r="K6" s="18">
        <f t="shared" si="0"/>
        <v>0</v>
      </c>
    </row>
    <row r="7" spans="2:11" ht="15" customHeight="1" x14ac:dyDescent="0.3">
      <c r="B7" s="12" t="s">
        <v>13</v>
      </c>
      <c r="C7" s="13">
        <v>2022</v>
      </c>
      <c r="D7" s="14">
        <v>9.4000000000000004E-3</v>
      </c>
      <c r="E7" s="15">
        <v>9.0352999999999994</v>
      </c>
      <c r="F7" s="14">
        <v>0.28749999999999998</v>
      </c>
      <c r="G7" s="14">
        <v>38.79</v>
      </c>
      <c r="H7" s="16">
        <v>0.3871</v>
      </c>
      <c r="I7" s="17">
        <v>0.1208</v>
      </c>
      <c r="J7" s="17">
        <v>3.2300000000000002E-2</v>
      </c>
      <c r="K7" s="18">
        <f t="shared" si="0"/>
        <v>-0.94907222139853464</v>
      </c>
    </row>
    <row r="8" spans="2:11" ht="15" customHeight="1" x14ac:dyDescent="0.3">
      <c r="B8" s="12" t="s">
        <v>13</v>
      </c>
      <c r="C8" s="13">
        <v>2023</v>
      </c>
      <c r="D8" s="14">
        <v>7.4000000000000003E-3</v>
      </c>
      <c r="E8" s="15">
        <v>9.2080000000000002</v>
      </c>
      <c r="F8" s="14">
        <v>0.30030000000000001</v>
      </c>
      <c r="G8" s="14">
        <v>32.06</v>
      </c>
      <c r="H8" s="16">
        <v>0.15110000000000001</v>
      </c>
      <c r="I8" s="17">
        <v>0.12139999999999999</v>
      </c>
      <c r="J8" s="17">
        <v>3.0599999999999999E-2</v>
      </c>
      <c r="K8" s="18">
        <f t="shared" si="0"/>
        <v>-1.8898134097034431</v>
      </c>
    </row>
    <row r="9" spans="2:11" ht="15" customHeight="1" x14ac:dyDescent="0.3">
      <c r="B9" s="12" t="s">
        <v>13</v>
      </c>
      <c r="C9" s="13">
        <v>2024</v>
      </c>
      <c r="D9" s="14">
        <v>3.8999999999999998E-3</v>
      </c>
      <c r="E9" s="15">
        <v>9.4328000000000003</v>
      </c>
      <c r="F9" s="14">
        <v>0.27050000000000002</v>
      </c>
      <c r="G9" s="14">
        <v>25.12</v>
      </c>
      <c r="H9" s="16">
        <v>0.30919999999999997</v>
      </c>
      <c r="I9" s="17">
        <v>0.13389999999999999</v>
      </c>
      <c r="J9" s="17">
        <v>2.9100000000000001E-2</v>
      </c>
      <c r="K9" s="18">
        <f t="shared" si="0"/>
        <v>-1.1737669622688702</v>
      </c>
    </row>
    <row r="10" spans="2:11" ht="15" customHeight="1" x14ac:dyDescent="0.3">
      <c r="B10" s="12" t="s">
        <v>13</v>
      </c>
      <c r="C10" s="13">
        <v>2025</v>
      </c>
      <c r="D10" s="14">
        <v>3.0999999999999999E-3</v>
      </c>
      <c r="E10" s="15">
        <v>9.6659000000000006</v>
      </c>
      <c r="F10" s="14">
        <v>0.28989999999999999</v>
      </c>
      <c r="G10" s="14">
        <v>18.649999999999999</v>
      </c>
      <c r="H10" s="16">
        <v>0.20519999999999999</v>
      </c>
      <c r="I10" s="17">
        <v>0.12570000000000001</v>
      </c>
      <c r="J10" s="17">
        <v>2.81E-2</v>
      </c>
      <c r="K10" s="18">
        <f t="shared" si="0"/>
        <v>-1.5837701656855225</v>
      </c>
    </row>
    <row r="11" spans="2:11" ht="15" customHeight="1" x14ac:dyDescent="0.3">
      <c r="B11" s="19" t="s">
        <v>14</v>
      </c>
      <c r="C11" s="19">
        <v>2018</v>
      </c>
      <c r="D11" s="20">
        <v>1.3916999999999999</v>
      </c>
      <c r="E11" s="21">
        <v>7.7053000000000003</v>
      </c>
      <c r="F11" s="20">
        <v>0.18329999999999999</v>
      </c>
      <c r="G11" s="20">
        <v>2.82</v>
      </c>
      <c r="H11" s="22">
        <v>0</v>
      </c>
      <c r="I11" s="23">
        <v>6.5299999999999997E-2</v>
      </c>
      <c r="J11" s="23">
        <v>1.44E-2</v>
      </c>
      <c r="K11" s="24">
        <f t="shared" si="0"/>
        <v>0</v>
      </c>
    </row>
    <row r="12" spans="2:11" ht="15" customHeight="1" x14ac:dyDescent="0.3">
      <c r="B12" s="25" t="s">
        <v>14</v>
      </c>
      <c r="C12" s="25">
        <v>2019</v>
      </c>
      <c r="D12" s="26">
        <v>0.76990000000000003</v>
      </c>
      <c r="E12" s="27">
        <v>7.9244000000000003</v>
      </c>
      <c r="F12" s="26">
        <v>0.1769</v>
      </c>
      <c r="G12" s="26">
        <v>3.04</v>
      </c>
      <c r="H12" s="28">
        <v>0.22070000000000001</v>
      </c>
      <c r="I12" s="29">
        <v>6.5500000000000003E-2</v>
      </c>
      <c r="J12" s="29">
        <v>1.23E-2</v>
      </c>
      <c r="K12" s="30">
        <f t="shared" si="0"/>
        <v>-1.5109509657194462</v>
      </c>
    </row>
    <row r="13" spans="2:11" ht="15" customHeight="1" x14ac:dyDescent="0.3">
      <c r="B13" s="19" t="s">
        <v>14</v>
      </c>
      <c r="C13" s="19">
        <v>2020</v>
      </c>
      <c r="D13" s="20">
        <v>0.24349999999999999</v>
      </c>
      <c r="E13" s="21">
        <v>8.0922000000000001</v>
      </c>
      <c r="F13" s="20">
        <v>0.16950000000000001</v>
      </c>
      <c r="G13" s="20">
        <v>3.54</v>
      </c>
      <c r="H13" s="22">
        <v>0.15529999999999999</v>
      </c>
      <c r="I13" s="23">
        <v>7.8299999999999995E-2</v>
      </c>
      <c r="J13" s="23">
        <v>1.7399999999999999E-2</v>
      </c>
      <c r="K13" s="24">
        <f t="shared" si="0"/>
        <v>-1.8623965488274956</v>
      </c>
    </row>
    <row r="14" spans="2:11" ht="15" customHeight="1" x14ac:dyDescent="0.3">
      <c r="B14" s="25" t="s">
        <v>14</v>
      </c>
      <c r="C14" s="25">
        <v>2021</v>
      </c>
      <c r="D14" s="26">
        <v>0.18770000000000001</v>
      </c>
      <c r="E14" s="27">
        <v>8.0090000000000003</v>
      </c>
      <c r="F14" s="26">
        <v>0.17849999999999999</v>
      </c>
      <c r="G14" s="26">
        <v>7.33</v>
      </c>
      <c r="H14" s="28">
        <v>-0.1444</v>
      </c>
      <c r="I14" s="29">
        <v>8.9800000000000005E-2</v>
      </c>
      <c r="J14" s="29">
        <v>1.9300000000000001E-2</v>
      </c>
      <c r="K14" s="30">
        <f t="shared" si="0"/>
        <v>0</v>
      </c>
    </row>
    <row r="15" spans="2:11" ht="15" customHeight="1" x14ac:dyDescent="0.3">
      <c r="B15" s="19" t="s">
        <v>14</v>
      </c>
      <c r="C15" s="19">
        <v>2022</v>
      </c>
      <c r="D15" s="20">
        <v>0.16619999999999999</v>
      </c>
      <c r="E15" s="21">
        <v>8.1682000000000006</v>
      </c>
      <c r="F15" s="20">
        <v>0.15060000000000001</v>
      </c>
      <c r="G15" s="20">
        <v>13.7</v>
      </c>
      <c r="H15" s="22">
        <v>0.36940000000000001</v>
      </c>
      <c r="I15" s="23">
        <v>0.1066</v>
      </c>
      <c r="J15" s="23">
        <v>1.5599999999999999E-2</v>
      </c>
      <c r="K15" s="24">
        <f t="shared" si="0"/>
        <v>-0.9958752112169974</v>
      </c>
    </row>
    <row r="16" spans="2:11" ht="15" customHeight="1" x14ac:dyDescent="0.3">
      <c r="B16" s="25" t="s">
        <v>14</v>
      </c>
      <c r="C16" s="25">
        <v>2023</v>
      </c>
      <c r="D16" s="26">
        <v>6.2600000000000003E-2</v>
      </c>
      <c r="E16" s="27">
        <v>8.2347999999999999</v>
      </c>
      <c r="F16" s="26">
        <v>0.15040000000000001</v>
      </c>
      <c r="G16" s="26">
        <v>19.34</v>
      </c>
      <c r="H16" s="28">
        <v>0.20619999999999999</v>
      </c>
      <c r="I16" s="29">
        <v>0.1265</v>
      </c>
      <c r="J16" s="29">
        <v>1.5100000000000001E-2</v>
      </c>
      <c r="K16" s="30">
        <f t="shared" si="0"/>
        <v>-1.5789087073992776</v>
      </c>
    </row>
    <row r="17" spans="2:11" ht="15" customHeight="1" x14ac:dyDescent="0.3">
      <c r="B17" s="19" t="s">
        <v>14</v>
      </c>
      <c r="C17" s="19">
        <v>2024</v>
      </c>
      <c r="D17" s="20">
        <v>5.2699999999999997E-2</v>
      </c>
      <c r="E17" s="21">
        <v>8.4459</v>
      </c>
      <c r="F17" s="20">
        <v>0.16539999999999999</v>
      </c>
      <c r="G17" s="20">
        <v>18.75</v>
      </c>
      <c r="H17" s="22">
        <v>0.17560000000000001</v>
      </c>
      <c r="I17" s="23">
        <v>0.12479999999999999</v>
      </c>
      <c r="J17" s="23">
        <v>1.3100000000000001E-2</v>
      </c>
      <c r="K17" s="24">
        <f t="shared" si="0"/>
        <v>-1.7395465977811206</v>
      </c>
    </row>
    <row r="18" spans="2:11" ht="15" customHeight="1" x14ac:dyDescent="0.3">
      <c r="B18" s="25" t="s">
        <v>14</v>
      </c>
      <c r="C18" s="25">
        <v>2025</v>
      </c>
      <c r="D18" s="26">
        <v>3.7499999999999999E-2</v>
      </c>
      <c r="E18" s="27">
        <v>8.8866999999999994</v>
      </c>
      <c r="F18" s="26">
        <v>0.13719999999999999</v>
      </c>
      <c r="G18" s="26">
        <v>17.73</v>
      </c>
      <c r="H18" s="28">
        <v>0.19889999999999999</v>
      </c>
      <c r="I18" s="29">
        <v>9.6199999999999994E-2</v>
      </c>
      <c r="J18" s="29">
        <v>9.7000000000000003E-3</v>
      </c>
      <c r="K18" s="30">
        <f t="shared" si="0"/>
        <v>-1.6149530931222105</v>
      </c>
    </row>
    <row r="19" spans="2:11" ht="15" customHeight="1" x14ac:dyDescent="0.3">
      <c r="B19" s="19" t="s">
        <v>15</v>
      </c>
      <c r="C19" s="19">
        <v>2018</v>
      </c>
      <c r="D19" s="20">
        <v>2.9999999999999997E-4</v>
      </c>
      <c r="E19" s="21">
        <v>7.8167999999999997</v>
      </c>
      <c r="F19" s="20">
        <v>0.16719999999999999</v>
      </c>
      <c r="G19" s="20">
        <v>550</v>
      </c>
      <c r="H19" s="22">
        <v>0.15129999999999999</v>
      </c>
      <c r="I19" s="23">
        <v>0.13300000000000001</v>
      </c>
      <c r="J19" s="23">
        <v>1.77E-2</v>
      </c>
      <c r="K19" s="24">
        <f t="shared" si="0"/>
        <v>-1.8884906581878269</v>
      </c>
    </row>
    <row r="20" spans="2:11" ht="15" customHeight="1" x14ac:dyDescent="0.3">
      <c r="B20" s="25" t="s">
        <v>15</v>
      </c>
      <c r="C20" s="25">
        <v>2019</v>
      </c>
      <c r="D20" s="26">
        <v>2.0000000000000001E-4</v>
      </c>
      <c r="E20" s="27">
        <v>7.9283999999999999</v>
      </c>
      <c r="F20" s="26">
        <v>0.14949999999999999</v>
      </c>
      <c r="G20" s="26">
        <v>611</v>
      </c>
      <c r="H20" s="28">
        <v>9.3399999999999997E-2</v>
      </c>
      <c r="I20" s="29">
        <v>0.1467</v>
      </c>
      <c r="J20" s="29">
        <v>1.4800000000000001E-2</v>
      </c>
      <c r="K20" s="30">
        <f t="shared" si="0"/>
        <v>-2.3708639337473403</v>
      </c>
    </row>
    <row r="21" spans="2:11" ht="15" customHeight="1" x14ac:dyDescent="0.3">
      <c r="B21" s="19" t="s">
        <v>15</v>
      </c>
      <c r="C21" s="19">
        <v>2020</v>
      </c>
      <c r="D21" s="20">
        <v>2.0000000000000001E-4</v>
      </c>
      <c r="E21" s="21">
        <v>8.0086999999999993</v>
      </c>
      <c r="F21" s="20">
        <v>0.13730000000000001</v>
      </c>
      <c r="G21" s="20">
        <v>257</v>
      </c>
      <c r="H21" s="22">
        <v>-6.5299999999999997E-2</v>
      </c>
      <c r="I21" s="23">
        <v>0.13</v>
      </c>
      <c r="J21" s="23">
        <v>1.2999999999999999E-2</v>
      </c>
      <c r="K21" s="24">
        <f t="shared" si="0"/>
        <v>0</v>
      </c>
    </row>
    <row r="22" spans="2:11" ht="15" customHeight="1" x14ac:dyDescent="0.3">
      <c r="B22" s="25" t="s">
        <v>15</v>
      </c>
      <c r="C22" s="25">
        <v>2021</v>
      </c>
      <c r="D22" s="26">
        <v>1E-4</v>
      </c>
      <c r="E22" s="27">
        <v>8.0867000000000004</v>
      </c>
      <c r="F22" s="26">
        <v>0.12920000000000001</v>
      </c>
      <c r="G22" s="26">
        <v>632</v>
      </c>
      <c r="H22" s="28">
        <v>-3.7900000000000003E-2</v>
      </c>
      <c r="I22" s="29">
        <v>0.14180000000000001</v>
      </c>
      <c r="J22" s="29">
        <v>1.2E-2</v>
      </c>
      <c r="K22" s="30">
        <f t="shared" si="0"/>
        <v>0</v>
      </c>
    </row>
    <row r="23" spans="2:11" ht="15" customHeight="1" x14ac:dyDescent="0.3">
      <c r="B23" s="19" t="s">
        <v>15</v>
      </c>
      <c r="C23" s="19">
        <v>2022</v>
      </c>
      <c r="D23" s="20">
        <v>1E-4</v>
      </c>
      <c r="E23" s="21">
        <v>8.1890000000000001</v>
      </c>
      <c r="F23" s="20">
        <v>0.12970000000000001</v>
      </c>
      <c r="G23" s="20">
        <v>394.5</v>
      </c>
      <c r="H23" s="22">
        <v>0.36130000000000001</v>
      </c>
      <c r="I23" s="23">
        <v>0.1663</v>
      </c>
      <c r="J23" s="23">
        <v>1.0800000000000001E-2</v>
      </c>
      <c r="K23" s="24">
        <f t="shared" si="0"/>
        <v>-1.0180466408285425</v>
      </c>
    </row>
    <row r="24" spans="2:11" ht="15" customHeight="1" x14ac:dyDescent="0.3">
      <c r="B24" s="25" t="s">
        <v>15</v>
      </c>
      <c r="C24" s="25">
        <v>2023</v>
      </c>
      <c r="D24" s="26">
        <v>1E-4</v>
      </c>
      <c r="E24" s="27">
        <v>8.3023000000000007</v>
      </c>
      <c r="F24" s="26">
        <v>0.1118</v>
      </c>
      <c r="G24" s="26">
        <v>650</v>
      </c>
      <c r="H24" s="28">
        <v>0.18920000000000001</v>
      </c>
      <c r="I24" s="29">
        <v>0.125</v>
      </c>
      <c r="J24" s="29">
        <v>1.14E-2</v>
      </c>
      <c r="K24" s="30">
        <f t="shared" si="0"/>
        <v>-1.6649506223643591</v>
      </c>
    </row>
    <row r="25" spans="2:11" ht="15" customHeight="1" x14ac:dyDescent="0.3">
      <c r="B25" s="19" t="s">
        <v>15</v>
      </c>
      <c r="C25" s="19">
        <v>2024</v>
      </c>
      <c r="D25" s="20">
        <v>2.9999999999999997E-4</v>
      </c>
      <c r="E25" s="21">
        <v>8.4354999999999993</v>
      </c>
      <c r="F25" s="20">
        <v>0.13220000000000001</v>
      </c>
      <c r="G25" s="20">
        <v>433</v>
      </c>
      <c r="H25" s="22">
        <v>0.11890000000000001</v>
      </c>
      <c r="I25" s="23">
        <v>0.14149999999999999</v>
      </c>
      <c r="J25" s="23">
        <v>9.4999999999999998E-3</v>
      </c>
      <c r="K25" s="24">
        <f t="shared" si="0"/>
        <v>-2.1294724752854011</v>
      </c>
    </row>
    <row r="26" spans="2:11" ht="15" customHeight="1" x14ac:dyDescent="0.3">
      <c r="B26" s="25" t="s">
        <v>15</v>
      </c>
      <c r="C26" s="25">
        <v>2025</v>
      </c>
      <c r="D26" s="26">
        <v>2.9999999999999997E-4</v>
      </c>
      <c r="E26" s="27">
        <v>8.5218000000000007</v>
      </c>
      <c r="F26" s="26">
        <v>0.1565</v>
      </c>
      <c r="G26" s="26">
        <v>462</v>
      </c>
      <c r="H26" s="28">
        <v>6.08E-2</v>
      </c>
      <c r="I26" s="29">
        <v>0.1396</v>
      </c>
      <c r="J26" s="29">
        <v>9.4000000000000004E-3</v>
      </c>
      <c r="K26" s="30">
        <f t="shared" si="0"/>
        <v>-2.8001654900100159</v>
      </c>
    </row>
    <row r="27" spans="2:11" ht="15" customHeight="1" x14ac:dyDescent="0.3">
      <c r="B27" s="19" t="s">
        <v>16</v>
      </c>
      <c r="C27" s="19">
        <v>2018</v>
      </c>
      <c r="D27" s="20">
        <v>0.79449999999999998</v>
      </c>
      <c r="E27" s="21">
        <v>6.7249999999999996</v>
      </c>
      <c r="F27" s="20">
        <v>0.2989</v>
      </c>
      <c r="G27" s="20">
        <v>2.92</v>
      </c>
      <c r="H27" s="22">
        <v>0.17380000000000001</v>
      </c>
      <c r="I27" s="23">
        <v>6.6000000000000003E-2</v>
      </c>
      <c r="J27" s="23">
        <v>3.3599999999999998E-2</v>
      </c>
      <c r="K27" s="24">
        <f t="shared" si="0"/>
        <v>-1.7498500661508454</v>
      </c>
    </row>
    <row r="28" spans="2:11" ht="15" customHeight="1" x14ac:dyDescent="0.3">
      <c r="B28" s="25" t="s">
        <v>16</v>
      </c>
      <c r="C28" s="25">
        <v>2019</v>
      </c>
      <c r="D28" s="26">
        <v>0.34510000000000002</v>
      </c>
      <c r="E28" s="27">
        <v>7.1163999999999996</v>
      </c>
      <c r="F28" s="26">
        <v>0.29949999999999999</v>
      </c>
      <c r="G28" s="26">
        <v>6.28</v>
      </c>
      <c r="H28" s="28">
        <v>0.17510000000000001</v>
      </c>
      <c r="I28" s="29">
        <v>9.2499999999999999E-2</v>
      </c>
      <c r="J28" s="29">
        <v>2.76E-2</v>
      </c>
      <c r="K28" s="30">
        <f t="shared" si="0"/>
        <v>-1.7423980396903309</v>
      </c>
    </row>
    <row r="29" spans="2:11" ht="15" customHeight="1" x14ac:dyDescent="0.3">
      <c r="B29" s="19" t="s">
        <v>16</v>
      </c>
      <c r="C29" s="19">
        <v>2020</v>
      </c>
      <c r="D29" s="20">
        <v>0.4425</v>
      </c>
      <c r="E29" s="21">
        <v>7.3428000000000004</v>
      </c>
      <c r="F29" s="20">
        <v>0.25309999999999999</v>
      </c>
      <c r="G29" s="20">
        <v>5.27</v>
      </c>
      <c r="H29" s="22">
        <v>-0.14899999999999999</v>
      </c>
      <c r="I29" s="23">
        <v>7.9000000000000001E-2</v>
      </c>
      <c r="J29" s="23">
        <v>2.52E-2</v>
      </c>
      <c r="K29" s="24">
        <f t="shared" si="0"/>
        <v>0</v>
      </c>
    </row>
    <row r="30" spans="2:11" ht="15" customHeight="1" x14ac:dyDescent="0.3">
      <c r="B30" s="25" t="s">
        <v>16</v>
      </c>
      <c r="C30" s="25">
        <v>2021</v>
      </c>
      <c r="D30" s="26">
        <v>0.48420000000000002</v>
      </c>
      <c r="E30" s="27">
        <v>7.4471999999999996</v>
      </c>
      <c r="F30" s="26">
        <v>0.23269999999999999</v>
      </c>
      <c r="G30" s="26">
        <v>7.24</v>
      </c>
      <c r="H30" s="28">
        <v>9.8799999999999999E-2</v>
      </c>
      <c r="I30" s="29">
        <v>7.8700000000000006E-2</v>
      </c>
      <c r="J30" s="29">
        <v>2.6200000000000001E-2</v>
      </c>
      <c r="K30" s="30">
        <f t="shared" si="0"/>
        <v>-2.3146576742283149</v>
      </c>
    </row>
    <row r="31" spans="2:11" ht="15" customHeight="1" x14ac:dyDescent="0.3">
      <c r="B31" s="19" t="s">
        <v>16</v>
      </c>
      <c r="C31" s="19">
        <v>2022</v>
      </c>
      <c r="D31" s="20">
        <v>0.4264</v>
      </c>
      <c r="E31" s="21">
        <v>7.6261000000000001</v>
      </c>
      <c r="F31" s="20">
        <v>0.19409999999999999</v>
      </c>
      <c r="G31" s="20">
        <v>12.83</v>
      </c>
      <c r="H31" s="22">
        <v>0.61009999999999998</v>
      </c>
      <c r="I31" s="23">
        <v>0.1043</v>
      </c>
      <c r="J31" s="23">
        <v>2.24E-2</v>
      </c>
      <c r="K31" s="24">
        <f t="shared" si="0"/>
        <v>-0.49413240082433035</v>
      </c>
    </row>
    <row r="32" spans="2:11" ht="15" customHeight="1" x14ac:dyDescent="0.3">
      <c r="B32" s="25" t="s">
        <v>16</v>
      </c>
      <c r="C32" s="25">
        <v>2023</v>
      </c>
      <c r="D32" s="26">
        <v>0.40849999999999997</v>
      </c>
      <c r="E32" s="27">
        <v>7.8762999999999996</v>
      </c>
      <c r="F32" s="26">
        <v>0.1963</v>
      </c>
      <c r="G32" s="26">
        <v>6.95</v>
      </c>
      <c r="H32" s="28">
        <v>0.27660000000000001</v>
      </c>
      <c r="I32" s="29">
        <v>7.2099999999999997E-2</v>
      </c>
      <c r="J32" s="29">
        <v>2.2800000000000001E-2</v>
      </c>
      <c r="K32" s="30">
        <f t="shared" si="0"/>
        <v>-1.2851828597514792</v>
      </c>
    </row>
    <row r="33" spans="2:11" ht="15" customHeight="1" x14ac:dyDescent="0.3">
      <c r="B33" s="19" t="s">
        <v>16</v>
      </c>
      <c r="C33" s="19">
        <v>2024</v>
      </c>
      <c r="D33" s="20">
        <v>0.19689999999999999</v>
      </c>
      <c r="E33" s="21">
        <v>7.9617000000000004</v>
      </c>
      <c r="F33" s="20">
        <v>0.1865</v>
      </c>
      <c r="G33" s="20">
        <v>8.52</v>
      </c>
      <c r="H33" s="22">
        <v>0.1779</v>
      </c>
      <c r="I33" s="23">
        <v>0.10390000000000001</v>
      </c>
      <c r="J33" s="23">
        <v>2.2700000000000001E-2</v>
      </c>
      <c r="K33" s="24">
        <f t="shared" si="0"/>
        <v>-1.7265336843103476</v>
      </c>
    </row>
    <row r="34" spans="2:11" ht="15" customHeight="1" x14ac:dyDescent="0.3">
      <c r="B34" s="25" t="s">
        <v>16</v>
      </c>
      <c r="C34" s="25">
        <v>2025</v>
      </c>
      <c r="D34" s="26">
        <v>0.13469999999999999</v>
      </c>
      <c r="E34" s="27">
        <v>8.1654</v>
      </c>
      <c r="F34" s="26">
        <v>0.21870000000000001</v>
      </c>
      <c r="G34" s="26">
        <v>7.82</v>
      </c>
      <c r="H34" s="28">
        <v>0.15509999999999999</v>
      </c>
      <c r="I34" s="29">
        <v>8.8700000000000001E-2</v>
      </c>
      <c r="J34" s="29">
        <v>1.9900000000000001E-2</v>
      </c>
      <c r="K34" s="30">
        <f t="shared" si="0"/>
        <v>-1.8636852087996441</v>
      </c>
    </row>
    <row r="35" spans="2:11" ht="15" customHeight="1" x14ac:dyDescent="0.3">
      <c r="B35" s="19" t="s">
        <v>17</v>
      </c>
      <c r="C35" s="19">
        <v>2018</v>
      </c>
      <c r="D35" s="20">
        <v>0</v>
      </c>
      <c r="E35" s="21">
        <v>8.8148999999999997</v>
      </c>
      <c r="F35" s="20">
        <v>0.36520000000000002</v>
      </c>
      <c r="G35" s="20">
        <v>44.36</v>
      </c>
      <c r="H35" s="22">
        <v>0.16830000000000001</v>
      </c>
      <c r="I35" s="23">
        <v>0.15620000000000001</v>
      </c>
      <c r="J35" s="23">
        <v>3.5499999999999997E-2</v>
      </c>
      <c r="K35" s="24">
        <f t="shared" si="0"/>
        <v>-1.7820071777853768</v>
      </c>
    </row>
    <row r="36" spans="2:11" ht="15" customHeight="1" x14ac:dyDescent="0.3">
      <c r="B36" s="25" t="s">
        <v>17</v>
      </c>
      <c r="C36" s="25">
        <v>2019</v>
      </c>
      <c r="D36" s="26">
        <v>1.44E-2</v>
      </c>
      <c r="E36" s="27">
        <v>8.9768000000000008</v>
      </c>
      <c r="F36" s="26">
        <v>0.59279999999999999</v>
      </c>
      <c r="G36" s="26">
        <v>72.72</v>
      </c>
      <c r="H36" s="28">
        <v>0.214</v>
      </c>
      <c r="I36" s="29">
        <v>0.16619999999999999</v>
      </c>
      <c r="J36" s="29">
        <v>3.0300000000000001E-2</v>
      </c>
      <c r="K36" s="30">
        <f t="shared" si="0"/>
        <v>-1.5417792639602856</v>
      </c>
    </row>
    <row r="37" spans="2:11" ht="15" customHeight="1" x14ac:dyDescent="0.3">
      <c r="B37" s="19" t="s">
        <v>17</v>
      </c>
      <c r="C37" s="19">
        <v>2020</v>
      </c>
      <c r="D37" s="20">
        <v>0</v>
      </c>
      <c r="E37" s="21">
        <v>9.0192999999999994</v>
      </c>
      <c r="F37" s="20">
        <v>0.49159999999999998</v>
      </c>
      <c r="G37" s="20">
        <v>47.73</v>
      </c>
      <c r="H37" s="22">
        <v>-6.4100000000000004E-2</v>
      </c>
      <c r="I37" s="23">
        <v>0.1221</v>
      </c>
      <c r="J37" s="23">
        <v>3.56E-2</v>
      </c>
      <c r="K37" s="24">
        <f t="shared" si="0"/>
        <v>0</v>
      </c>
    </row>
    <row r="38" spans="2:11" ht="15" customHeight="1" x14ac:dyDescent="0.3">
      <c r="B38" s="25" t="s">
        <v>17</v>
      </c>
      <c r="C38" s="25">
        <v>2021</v>
      </c>
      <c r="D38" s="26">
        <v>0.1231</v>
      </c>
      <c r="E38" s="27">
        <v>9.0931999999999995</v>
      </c>
      <c r="F38" s="26">
        <v>0.42620000000000002</v>
      </c>
      <c r="G38" s="26">
        <v>21.73</v>
      </c>
      <c r="H38" s="28">
        <v>0.11219999999999999</v>
      </c>
      <c r="I38" s="29">
        <v>0.1245</v>
      </c>
      <c r="J38" s="29">
        <v>3.4500000000000003E-2</v>
      </c>
      <c r="K38" s="30">
        <f t="shared" si="0"/>
        <v>-2.1874722858935414</v>
      </c>
    </row>
    <row r="39" spans="2:11" ht="15" customHeight="1" x14ac:dyDescent="0.3">
      <c r="B39" s="19" t="s">
        <v>17</v>
      </c>
      <c r="C39" s="19">
        <v>2022</v>
      </c>
      <c r="D39" s="20">
        <v>8.4699999999999998E-2</v>
      </c>
      <c r="E39" s="21">
        <v>9.2055000000000007</v>
      </c>
      <c r="F39" s="20">
        <v>0.40670000000000001</v>
      </c>
      <c r="G39" s="20">
        <v>32.26</v>
      </c>
      <c r="H39" s="22">
        <v>0.3241</v>
      </c>
      <c r="I39" s="23">
        <v>0.1462</v>
      </c>
      <c r="J39" s="23">
        <v>2.75E-2</v>
      </c>
      <c r="K39" s="24">
        <f t="shared" si="0"/>
        <v>-1.1267031688346354</v>
      </c>
    </row>
    <row r="40" spans="2:11" ht="15" customHeight="1" x14ac:dyDescent="0.3">
      <c r="B40" s="25" t="s">
        <v>17</v>
      </c>
      <c r="C40" s="25">
        <v>2023</v>
      </c>
      <c r="D40" s="26">
        <v>0</v>
      </c>
      <c r="E40" s="27">
        <v>9.3198000000000008</v>
      </c>
      <c r="F40" s="26">
        <v>0.38340000000000002</v>
      </c>
      <c r="G40" s="26">
        <v>80.069999999999993</v>
      </c>
      <c r="H40" s="28">
        <v>0.21740000000000001</v>
      </c>
      <c r="I40" s="29">
        <v>0.1565</v>
      </c>
      <c r="J40" s="29">
        <v>2.6800000000000001E-2</v>
      </c>
      <c r="K40" s="30">
        <f t="shared" si="0"/>
        <v>-1.5260163042950279</v>
      </c>
    </row>
    <row r="41" spans="2:11" ht="15" customHeight="1" x14ac:dyDescent="0.3">
      <c r="B41" s="19" t="s">
        <v>17</v>
      </c>
      <c r="C41" s="19">
        <v>2024</v>
      </c>
      <c r="D41" s="20">
        <v>0</v>
      </c>
      <c r="E41" s="21">
        <v>9.4278999999999993</v>
      </c>
      <c r="F41" s="20">
        <v>0.39629999999999999</v>
      </c>
      <c r="G41" s="20">
        <v>65.95</v>
      </c>
      <c r="H41" s="22">
        <v>0.10730000000000001</v>
      </c>
      <c r="I41" s="23">
        <v>0.161</v>
      </c>
      <c r="J41" s="23">
        <v>2.7099999999999999E-2</v>
      </c>
      <c r="K41" s="24">
        <f t="shared" si="0"/>
        <v>-2.2321266293454842</v>
      </c>
    </row>
    <row r="42" spans="2:11" ht="15" customHeight="1" x14ac:dyDescent="0.3">
      <c r="B42" s="25" t="s">
        <v>17</v>
      </c>
      <c r="C42" s="25">
        <v>2025</v>
      </c>
      <c r="D42" s="26">
        <v>0</v>
      </c>
      <c r="E42" s="27">
        <v>9.5330999999999992</v>
      </c>
      <c r="F42" s="26">
        <v>0.39810000000000001</v>
      </c>
      <c r="G42" s="26">
        <v>68.89</v>
      </c>
      <c r="H42" s="28">
        <v>0.11269999999999999</v>
      </c>
      <c r="I42" s="29">
        <v>0.1588</v>
      </c>
      <c r="J42" s="29">
        <v>2.9000000000000001E-2</v>
      </c>
      <c r="K42" s="30">
        <f t="shared" si="0"/>
        <v>-2.1830258579364066</v>
      </c>
    </row>
    <row r="43" spans="2:11" ht="15" customHeight="1" x14ac:dyDescent="0.3">
      <c r="B43" s="19" t="s">
        <v>18</v>
      </c>
      <c r="C43" s="19">
        <v>2018</v>
      </c>
      <c r="D43" s="20">
        <v>0.47189999999999999</v>
      </c>
      <c r="E43" s="21">
        <v>7.3311000000000002</v>
      </c>
      <c r="F43" s="20">
        <v>7.9899999999999999E-2</v>
      </c>
      <c r="G43" s="20">
        <v>2.58</v>
      </c>
      <c r="H43" s="22">
        <v>0.44429999999999997</v>
      </c>
      <c r="I43" s="23">
        <v>5.4399999999999997E-2</v>
      </c>
      <c r="J43" s="23">
        <v>1.38E-2</v>
      </c>
      <c r="K43" s="24">
        <f t="shared" si="0"/>
        <v>-0.81125526904027434</v>
      </c>
    </row>
    <row r="44" spans="2:11" ht="15" customHeight="1" x14ac:dyDescent="0.3">
      <c r="B44" s="25" t="s">
        <v>18</v>
      </c>
      <c r="C44" s="25">
        <v>2019</v>
      </c>
      <c r="D44" s="26">
        <v>0.54149999999999998</v>
      </c>
      <c r="E44" s="27">
        <v>7.5235000000000003</v>
      </c>
      <c r="F44" s="26">
        <v>8.3699999999999997E-2</v>
      </c>
      <c r="G44" s="26">
        <v>3.74</v>
      </c>
      <c r="H44" s="28">
        <v>0.19919999999999999</v>
      </c>
      <c r="I44" s="29">
        <v>7.3499999999999996E-2</v>
      </c>
      <c r="J44" s="29">
        <v>1.1299999999999999E-2</v>
      </c>
      <c r="K44" s="30">
        <f t="shared" si="0"/>
        <v>-1.6134459338316391</v>
      </c>
    </row>
    <row r="45" spans="2:11" ht="15" customHeight="1" x14ac:dyDescent="0.3">
      <c r="B45" s="19" t="s">
        <v>18</v>
      </c>
      <c r="C45" s="19">
        <v>2020</v>
      </c>
      <c r="D45" s="20">
        <v>0.62729999999999997</v>
      </c>
      <c r="E45" s="21">
        <v>7.6885000000000003</v>
      </c>
      <c r="F45" s="20">
        <v>7.8799999999999995E-2</v>
      </c>
      <c r="G45" s="20">
        <v>2.91</v>
      </c>
      <c r="H45" s="22">
        <v>0.1081</v>
      </c>
      <c r="I45" s="23">
        <v>4.1200000000000001E-2</v>
      </c>
      <c r="J45" s="23">
        <v>1.0500000000000001E-2</v>
      </c>
      <c r="K45" s="24">
        <f t="shared" si="0"/>
        <v>-2.2246985543369746</v>
      </c>
    </row>
    <row r="46" spans="2:11" ht="15" customHeight="1" x14ac:dyDescent="0.3">
      <c r="B46" s="25" t="s">
        <v>18</v>
      </c>
      <c r="C46" s="25">
        <v>2021</v>
      </c>
      <c r="D46" s="26">
        <v>0.53610000000000002</v>
      </c>
      <c r="E46" s="27">
        <v>7.7625999999999999</v>
      </c>
      <c r="F46" s="26">
        <v>7.9500000000000001E-2</v>
      </c>
      <c r="G46" s="26">
        <v>2.4300000000000002</v>
      </c>
      <c r="H46" s="28">
        <v>-0.1837</v>
      </c>
      <c r="I46" s="29">
        <v>2.8500000000000001E-2</v>
      </c>
      <c r="J46" s="29">
        <v>1.11E-2</v>
      </c>
      <c r="K46" s="30">
        <f t="shared" si="0"/>
        <v>0</v>
      </c>
    </row>
    <row r="47" spans="2:11" ht="15" customHeight="1" x14ac:dyDescent="0.3">
      <c r="B47" s="19" t="s">
        <v>18</v>
      </c>
      <c r="C47" s="19">
        <v>2022</v>
      </c>
      <c r="D47" s="20">
        <v>0.53590000000000004</v>
      </c>
      <c r="E47" s="21">
        <v>7.9222999999999999</v>
      </c>
      <c r="F47" s="20">
        <v>6.0600000000000001E-2</v>
      </c>
      <c r="G47" s="20">
        <v>2.27</v>
      </c>
      <c r="H47" s="22">
        <v>0.41639999999999999</v>
      </c>
      <c r="I47" s="23">
        <v>2.7199999999999998E-2</v>
      </c>
      <c r="J47" s="23">
        <v>8.6999999999999994E-3</v>
      </c>
      <c r="K47" s="24">
        <f t="shared" si="0"/>
        <v>-0.8761089422413233</v>
      </c>
    </row>
    <row r="48" spans="2:11" ht="15" customHeight="1" x14ac:dyDescent="0.3">
      <c r="B48" s="25" t="s">
        <v>18</v>
      </c>
      <c r="C48" s="25">
        <v>2023</v>
      </c>
      <c r="D48" s="26">
        <v>0.43890000000000001</v>
      </c>
      <c r="E48" s="27">
        <v>7.9409000000000001</v>
      </c>
      <c r="F48" s="26">
        <v>5.7299999999999997E-2</v>
      </c>
      <c r="G48" s="26">
        <v>2.57</v>
      </c>
      <c r="H48" s="28">
        <v>0.21460000000000001</v>
      </c>
      <c r="I48" s="29">
        <v>4.2000000000000003E-2</v>
      </c>
      <c r="J48" s="29">
        <v>7.7999999999999996E-3</v>
      </c>
      <c r="K48" s="30">
        <f t="shared" si="0"/>
        <v>-1.5389794487855388</v>
      </c>
    </row>
    <row r="49" spans="2:11" ht="15" customHeight="1" x14ac:dyDescent="0.3">
      <c r="B49" s="19" t="s">
        <v>18</v>
      </c>
      <c r="C49" s="19">
        <v>2024</v>
      </c>
      <c r="D49" s="20">
        <v>0.43440000000000001</v>
      </c>
      <c r="E49" s="21">
        <v>8.1076999999999995</v>
      </c>
      <c r="F49" s="20">
        <v>6.0199999999999997E-2</v>
      </c>
      <c r="G49" s="20">
        <v>2.58</v>
      </c>
      <c r="H49" s="22">
        <v>-8.2699999999999996E-2</v>
      </c>
      <c r="I49" s="23">
        <v>3.2500000000000001E-2</v>
      </c>
      <c r="J49" s="23">
        <v>7.1999999999999998E-3</v>
      </c>
      <c r="K49" s="24">
        <f t="shared" si="0"/>
        <v>0</v>
      </c>
    </row>
    <row r="50" spans="2:11" ht="15" customHeight="1" x14ac:dyDescent="0.3">
      <c r="B50" s="25" t="s">
        <v>18</v>
      </c>
      <c r="C50" s="25">
        <v>2025</v>
      </c>
      <c r="D50" s="26">
        <v>0.47910000000000003</v>
      </c>
      <c r="E50" s="27">
        <v>8.1371000000000002</v>
      </c>
      <c r="F50" s="26">
        <v>7.46E-2</v>
      </c>
      <c r="G50" s="26">
        <v>2.12</v>
      </c>
      <c r="H50" s="28">
        <v>0.19159999999999999</v>
      </c>
      <c r="I50" s="29">
        <v>2.5999999999999999E-2</v>
      </c>
      <c r="J50" s="29">
        <v>7.9000000000000008E-3</v>
      </c>
      <c r="K50" s="30">
        <f t="shared" si="0"/>
        <v>-1.652345413445377</v>
      </c>
    </row>
  </sheetData>
  <mergeCells count="1">
    <mergeCell ref="B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8"/>
  <sheetViews>
    <sheetView showGridLines="0" zoomScaleNormal="100" workbookViewId="0">
      <selection activeCell="B16" sqref="B16:I17"/>
    </sheetView>
  </sheetViews>
  <sheetFormatPr defaultColWidth="8.6640625" defaultRowHeight="14.4" x14ac:dyDescent="0.3"/>
  <cols>
    <col min="1" max="1" width="2" customWidth="1"/>
    <col min="2" max="3" width="20" customWidth="1"/>
    <col min="4" max="7" width="16" customWidth="1"/>
    <col min="8" max="8" width="20" customWidth="1"/>
    <col min="9" max="9" width="16" customWidth="1"/>
  </cols>
  <sheetData>
    <row r="1" spans="2:9" ht="30" customHeight="1" x14ac:dyDescent="0.3">
      <c r="B1" s="8" t="s">
        <v>19</v>
      </c>
      <c r="C1" s="8"/>
      <c r="D1" s="8"/>
      <c r="E1" s="8"/>
      <c r="F1" s="8"/>
      <c r="G1" s="8"/>
      <c r="H1" s="8"/>
      <c r="I1" s="8"/>
    </row>
    <row r="2" spans="2:9" ht="36" customHeight="1" x14ac:dyDescent="0.3">
      <c r="B2" s="11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1" t="s">
        <v>26</v>
      </c>
      <c r="I2" s="11" t="s">
        <v>27</v>
      </c>
    </row>
    <row r="3" spans="2:9" ht="15.75" customHeight="1" x14ac:dyDescent="0.3">
      <c r="B3" s="31" t="s">
        <v>28</v>
      </c>
      <c r="C3" s="32">
        <f>AVERAGE(' Panel Data'!D3:D50)</f>
        <v>0.22243750000000004</v>
      </c>
      <c r="D3" s="32">
        <f>AVERAGE(' Panel Data'!E3:E50)</f>
        <v>8.3138604166666674</v>
      </c>
      <c r="E3" s="32">
        <f>AVERAGE(' Panel Data'!F3:F50)</f>
        <v>0.22742291666666661</v>
      </c>
      <c r="F3" s="32">
        <f>AVERAGE(' Panel Data'!I3:I50)</f>
        <v>0.10390624999999999</v>
      </c>
      <c r="G3" s="32">
        <f>AVERAGE(' Panel Data'!K3:K50)</f>
        <v>-1.368405307455635</v>
      </c>
      <c r="H3" s="32">
        <f>AVERAGE(' Panel Data'!H3:H50)</f>
        <v>0.15563541666666672</v>
      </c>
      <c r="I3" s="32">
        <f>AVERAGE(' Panel Data'!J3:J50)</f>
        <v>2.0816666666666667E-2</v>
      </c>
    </row>
    <row r="4" spans="2:9" ht="15.75" customHeight="1" x14ac:dyDescent="0.3">
      <c r="B4" s="33" t="s">
        <v>29</v>
      </c>
      <c r="C4" s="24">
        <f>MEDIAN(' Panel Data'!D3:D50)</f>
        <v>7.3649999999999993E-2</v>
      </c>
      <c r="D4" s="24">
        <f>MEDIAN(' Panel Data'!E3:E50)</f>
        <v>8.1668000000000003</v>
      </c>
      <c r="E4" s="24">
        <f>MEDIAN(' Panel Data'!F3:F50)</f>
        <v>0.18490000000000001</v>
      </c>
      <c r="F4" s="24">
        <f>MEDIAN(' Panel Data'!I3:I50)</f>
        <v>0.11044999999999999</v>
      </c>
      <c r="G4" s="24">
        <f>MEDIAN(' Panel Data'!K3:K50)</f>
        <v>-1.5986080497585808</v>
      </c>
      <c r="H4" s="24">
        <f>MEDIAN(' Panel Data'!H3:H50)</f>
        <v>0.1618</v>
      </c>
      <c r="I4" s="24">
        <f>MEDIAN(' Panel Data'!J3:J50)</f>
        <v>1.9599999999999999E-2</v>
      </c>
    </row>
    <row r="5" spans="2:9" ht="15.75" customHeight="1" x14ac:dyDescent="0.3">
      <c r="B5" s="31" t="s">
        <v>30</v>
      </c>
      <c r="C5" s="30">
        <f>MAX(' Panel Data'!D3:D50)</f>
        <v>1.3916999999999999</v>
      </c>
      <c r="D5" s="30">
        <f>MAX(' Panel Data'!E3:E50)</f>
        <v>9.6659000000000006</v>
      </c>
      <c r="E5" s="30">
        <f>MAX(' Panel Data'!F3:F50)</f>
        <v>0.59279999999999999</v>
      </c>
      <c r="F5" s="30">
        <f>MAX(' Panel Data'!I3:I50)</f>
        <v>0.1663</v>
      </c>
      <c r="G5" s="30">
        <f>MAX(' Panel Data'!K3:K50)</f>
        <v>0</v>
      </c>
      <c r="H5" s="30">
        <f>MAX(' Panel Data'!H3:H50)</f>
        <v>0.61009999999999998</v>
      </c>
      <c r="I5" s="30">
        <f>MAX(' Panel Data'!J3:J50)</f>
        <v>3.6200000000000003E-2</v>
      </c>
    </row>
    <row r="6" spans="2:9" ht="15.75" customHeight="1" x14ac:dyDescent="0.3">
      <c r="B6" s="33" t="s">
        <v>31</v>
      </c>
      <c r="C6" s="24">
        <f>MIN(' Panel Data'!D3:D50)</f>
        <v>0</v>
      </c>
      <c r="D6" s="24">
        <f>MIN(' Panel Data'!E3:E50)</f>
        <v>6.7249999999999996</v>
      </c>
      <c r="E6" s="24">
        <f>MIN(' Panel Data'!F3:F50)</f>
        <v>5.7299999999999997E-2</v>
      </c>
      <c r="F6" s="24">
        <f>MIN(' Panel Data'!I3:I50)</f>
        <v>2.5999999999999999E-2</v>
      </c>
      <c r="G6" s="24">
        <f>MIN(' Panel Data'!K3:K50)</f>
        <v>-2.8001654900100159</v>
      </c>
      <c r="H6" s="24">
        <f>MIN(' Panel Data'!H3:H50)</f>
        <v>-0.1837</v>
      </c>
      <c r="I6" s="24">
        <f>MIN(' Panel Data'!J3:J50)</f>
        <v>7.1999999999999998E-3</v>
      </c>
    </row>
    <row r="7" spans="2:9" ht="15.75" customHeight="1" x14ac:dyDescent="0.3">
      <c r="B7" s="31" t="s">
        <v>32</v>
      </c>
      <c r="C7" s="30">
        <f>STDEV(' Panel Data'!D3:D50)</f>
        <v>0.2921051054096504</v>
      </c>
      <c r="D7" s="30">
        <f>STDEV(' Panel Data'!E3:E50)</f>
        <v>0.6880138957464802</v>
      </c>
      <c r="E7" s="30">
        <f>STDEV(' Panel Data'!F3:F50)</f>
        <v>0.12793450658165226</v>
      </c>
      <c r="F7" s="30">
        <f>STDEV(' Panel Data'!I3:I50)</f>
        <v>4.0096815845618569E-2</v>
      </c>
      <c r="G7" s="30">
        <f>STDEV(' Panel Data'!K3:K50)</f>
        <v>0.80156783809828169</v>
      </c>
      <c r="H7" s="30">
        <f>STDEV(' Panel Data'!H3:H50)</f>
        <v>0.15749122162579213</v>
      </c>
      <c r="I7" s="30">
        <f>STDEV(' Panel Data'!J3:J50)</f>
        <v>9.5634350931107295E-3</v>
      </c>
    </row>
    <row r="8" spans="2:9" ht="15.75" customHeight="1" x14ac:dyDescent="0.3">
      <c r="B8" s="33" t="s">
        <v>33</v>
      </c>
      <c r="C8" s="34">
        <v>1.7015690000000001</v>
      </c>
      <c r="D8" s="34">
        <v>9.3259999999999996E-2</v>
      </c>
      <c r="E8" s="34">
        <v>0.71592699999999998</v>
      </c>
      <c r="F8" s="34">
        <v>-0.34909200000000001</v>
      </c>
      <c r="G8" s="34">
        <v>0.167823</v>
      </c>
      <c r="H8" s="34">
        <v>0.62874099999999999</v>
      </c>
      <c r="I8" s="34">
        <v>0.17255699999999999</v>
      </c>
    </row>
    <row r="9" spans="2:9" ht="15.75" customHeight="1" x14ac:dyDescent="0.3">
      <c r="B9" s="31" t="s">
        <v>34</v>
      </c>
      <c r="C9" s="35">
        <v>6.5524950000000004</v>
      </c>
      <c r="D9" s="35">
        <v>2.3694009999999999</v>
      </c>
      <c r="E9" s="35">
        <v>2.846959</v>
      </c>
      <c r="F9" s="35">
        <v>2.1554959999999999</v>
      </c>
      <c r="G9" s="35">
        <v>1.550535</v>
      </c>
      <c r="H9" s="35">
        <v>2.3395999999999999</v>
      </c>
      <c r="I9" s="35">
        <v>3.6526489999999998</v>
      </c>
    </row>
    <row r="10" spans="2:9" ht="15.75" customHeight="1" x14ac:dyDescent="0.3">
      <c r="B10" s="33" t="s">
        <v>35</v>
      </c>
      <c r="C10" s="34">
        <v>48.403129999999997</v>
      </c>
      <c r="D10" s="34">
        <v>0.86488900000000002</v>
      </c>
      <c r="E10" s="34">
        <v>4.1472550000000004</v>
      </c>
      <c r="F10" s="34">
        <v>2.401294</v>
      </c>
      <c r="G10" s="34">
        <v>4.4272109999999998</v>
      </c>
      <c r="H10" s="34">
        <v>4.034783</v>
      </c>
      <c r="I10" s="34">
        <v>1.0901099999999999</v>
      </c>
    </row>
    <row r="11" spans="2:9" ht="15.75" customHeight="1" x14ac:dyDescent="0.3">
      <c r="B11" s="31" t="s">
        <v>36</v>
      </c>
      <c r="C11" s="35">
        <v>0</v>
      </c>
      <c r="D11" s="35">
        <v>0.64892099999999997</v>
      </c>
      <c r="E11" s="35">
        <v>0.12572900000000001</v>
      </c>
      <c r="F11" s="35">
        <v>0.30099900000000002</v>
      </c>
      <c r="G11" s="35">
        <v>0.109306</v>
      </c>
      <c r="H11" s="35">
        <v>0.13300200000000001</v>
      </c>
      <c r="I11" s="35">
        <v>0.57981000000000005</v>
      </c>
    </row>
    <row r="12" spans="2:9" ht="15.75" customHeight="1" x14ac:dyDescent="0.3">
      <c r="B12" s="33" t="s">
        <v>37</v>
      </c>
      <c r="C12" s="24">
        <f>SUM(' Panel Data'!D3:D50)</f>
        <v>10.677000000000001</v>
      </c>
      <c r="D12" s="24">
        <f>SUM(' Panel Data'!E3:E50)</f>
        <v>399.06530000000004</v>
      </c>
      <c r="E12" s="24">
        <f>SUM(' Panel Data'!F3:F50)</f>
        <v>10.916299999999998</v>
      </c>
      <c r="F12" s="24">
        <f>SUM(' Panel Data'!I3:I50)</f>
        <v>4.9874999999999998</v>
      </c>
      <c r="G12" s="24">
        <f>SUM(' Panel Data'!K3:K50)</f>
        <v>-65.683454757870479</v>
      </c>
      <c r="H12" s="24">
        <f>SUM(' Panel Data'!H3:H50)</f>
        <v>7.4705000000000021</v>
      </c>
      <c r="I12" s="24">
        <f>SUM(' Panel Data'!J3:J50)</f>
        <v>0.99919999999999998</v>
      </c>
    </row>
    <row r="13" spans="2:9" ht="15.75" customHeight="1" x14ac:dyDescent="0.3">
      <c r="B13" s="31" t="s">
        <v>38</v>
      </c>
      <c r="C13" s="35">
        <v>4.0102929999999999</v>
      </c>
      <c r="D13" s="35">
        <v>22.248069999999998</v>
      </c>
      <c r="E13" s="35">
        <v>7.5564000000000006E-2</v>
      </c>
      <c r="F13" s="35">
        <v>1.165764</v>
      </c>
      <c r="G13" s="35">
        <v>4.2989999999999999E-3</v>
      </c>
      <c r="H13" s="35">
        <v>147.62430000000001</v>
      </c>
      <c r="I13" s="35">
        <v>0.76926000000000005</v>
      </c>
    </row>
    <row r="14" spans="2:9" ht="15.75" customHeight="1" x14ac:dyDescent="0.3">
      <c r="B14" s="33" t="s">
        <v>39</v>
      </c>
      <c r="C14" s="36">
        <f>COUNT(' Panel Data'!D3:D50)</f>
        <v>48</v>
      </c>
      <c r="D14" s="36">
        <f>COUNT(' Panel Data'!E3:E50)</f>
        <v>48</v>
      </c>
      <c r="E14" s="36">
        <f>COUNT(' Panel Data'!F3:F50)</f>
        <v>48</v>
      </c>
      <c r="F14" s="36">
        <f>COUNT(' Panel Data'!I3:I50)</f>
        <v>48</v>
      </c>
      <c r="G14" s="36">
        <f>COUNT(' Panel Data'!K3:K50)</f>
        <v>48</v>
      </c>
      <c r="H14" s="36">
        <f>COUNT(' Panel Data'!H3:H50)</f>
        <v>48</v>
      </c>
      <c r="I14" s="36">
        <f>COUNT(' Panel Data'!J3:J50)</f>
        <v>48</v>
      </c>
    </row>
    <row r="15" spans="2:9" ht="15" thickBot="1" x14ac:dyDescent="0.35"/>
    <row r="16" spans="2:9" ht="24" customHeight="1" thickBot="1" x14ac:dyDescent="0.35">
      <c r="B16" s="7" t="s">
        <v>40</v>
      </c>
      <c r="C16" s="7"/>
      <c r="D16" s="7"/>
      <c r="E16" s="7"/>
      <c r="F16" s="7"/>
      <c r="G16" s="7"/>
      <c r="H16" s="7"/>
      <c r="I16" s="7"/>
    </row>
    <row r="17" spans="2:9" ht="15" customHeight="1" x14ac:dyDescent="0.3">
      <c r="B17" s="7"/>
      <c r="C17" s="7"/>
      <c r="D17" s="7"/>
      <c r="E17" s="7"/>
      <c r="F17" s="7"/>
      <c r="G17" s="7"/>
      <c r="H17" s="7"/>
      <c r="I17" s="7"/>
    </row>
    <row r="18" spans="2:9" ht="15" customHeight="1" x14ac:dyDescent="0.3"/>
  </sheetData>
  <mergeCells count="2">
    <mergeCell ref="B1:I1"/>
    <mergeCell ref="B16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9"/>
  <sheetViews>
    <sheetView showGridLines="0" tabSelected="1" topLeftCell="A13" zoomScaleNormal="100" workbookViewId="0">
      <selection activeCell="B11" sqref="B11:C12"/>
    </sheetView>
  </sheetViews>
  <sheetFormatPr defaultColWidth="8.6640625" defaultRowHeight="14.4" x14ac:dyDescent="0.3"/>
  <cols>
    <col min="1" max="1" width="2" customWidth="1"/>
    <col min="2" max="13" width="16" customWidth="1"/>
  </cols>
  <sheetData>
    <row r="1" spans="2:13" ht="18" customHeight="1" x14ac:dyDescent="0.3"/>
    <row r="2" spans="2:13" ht="18" customHeight="1" x14ac:dyDescent="0.3">
      <c r="B2" s="6" t="s">
        <v>41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ht="18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18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8" customHeight="1" x14ac:dyDescent="0.3">
      <c r="B5" s="5" t="s">
        <v>42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3" ht="18" customHeight="1" x14ac:dyDescent="0.3">
      <c r="B6" s="4" t="s">
        <v>43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2:13" ht="18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3" ht="18" customHeight="1" x14ac:dyDescent="0.3"/>
    <row r="9" spans="2:13" ht="18" customHeight="1" x14ac:dyDescent="0.3">
      <c r="B9" s="2" t="s">
        <v>44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ht="18" customHeight="1" x14ac:dyDescent="0.3"/>
    <row r="11" spans="2:13" ht="21.75" customHeight="1" x14ac:dyDescent="0.3">
      <c r="B11" s="1" t="s">
        <v>45</v>
      </c>
      <c r="C11" s="1"/>
      <c r="D11" s="81" t="s">
        <v>46</v>
      </c>
      <c r="E11" s="81"/>
      <c r="F11" s="82" t="s">
        <v>47</v>
      </c>
      <c r="G11" s="82"/>
      <c r="H11" s="83" t="s">
        <v>48</v>
      </c>
      <c r="I11" s="83"/>
      <c r="J11" s="84" t="s">
        <v>49</v>
      </c>
      <c r="K11" s="84"/>
      <c r="L11" s="85" t="s">
        <v>50</v>
      </c>
      <c r="M11" s="85"/>
    </row>
    <row r="12" spans="2:13" ht="21.75" customHeight="1" x14ac:dyDescent="0.3">
      <c r="B12" s="1"/>
      <c r="C12" s="1"/>
      <c r="D12" s="81"/>
      <c r="E12" s="81"/>
      <c r="F12" s="82"/>
      <c r="G12" s="82"/>
      <c r="H12" s="83"/>
      <c r="I12" s="83"/>
      <c r="J12" s="84"/>
      <c r="K12" s="84"/>
      <c r="L12" s="85"/>
      <c r="M12" s="85"/>
    </row>
    <row r="13" spans="2:13" ht="27.75" customHeight="1" x14ac:dyDescent="0.3">
      <c r="B13" s="86">
        <f>' Panel Data'!D10</f>
        <v>3.0999999999999999E-3</v>
      </c>
      <c r="C13" s="86"/>
      <c r="D13" s="87">
        <f>' Panel Data'!E10</f>
        <v>9.6659000000000006</v>
      </c>
      <c r="E13" s="87"/>
      <c r="F13" s="88">
        <f>' Panel Data'!F10</f>
        <v>0.28989999999999999</v>
      </c>
      <c r="G13" s="88"/>
      <c r="H13" s="89">
        <f>' Panel Data'!G10</f>
        <v>18.649999999999999</v>
      </c>
      <c r="I13" s="89"/>
      <c r="J13" s="90">
        <f>' Panel Data'!H10</f>
        <v>0.20519999999999999</v>
      </c>
      <c r="K13" s="90"/>
      <c r="L13" s="91">
        <f>' Panel Data'!I10</f>
        <v>0.12570000000000001</v>
      </c>
      <c r="M13" s="91"/>
    </row>
    <row r="14" spans="2:13" ht="18" customHeight="1" x14ac:dyDescent="0.3">
      <c r="B14" s="86"/>
      <c r="C14" s="86"/>
      <c r="D14" s="87"/>
      <c r="E14" s="87"/>
      <c r="F14" s="88"/>
      <c r="G14" s="88"/>
      <c r="H14" s="89"/>
      <c r="I14" s="89"/>
      <c r="J14" s="90"/>
      <c r="K14" s="90"/>
      <c r="L14" s="91"/>
      <c r="M14" s="91"/>
    </row>
    <row r="15" spans="2:13" ht="3.75" customHeight="1" x14ac:dyDescent="0.3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2:13" ht="18" customHeight="1" x14ac:dyDescent="0.3">
      <c r="B16" s="92" t="s">
        <v>51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</row>
    <row r="17" spans="2:13" ht="18" customHeight="1" x14ac:dyDescent="0.3">
      <c r="B17" s="93" t="s">
        <v>52</v>
      </c>
      <c r="C17" s="93"/>
      <c r="D17" s="93" t="s">
        <v>53</v>
      </c>
      <c r="E17" s="93"/>
      <c r="F17" s="93" t="s">
        <v>54</v>
      </c>
      <c r="G17" s="93"/>
      <c r="H17" s="93" t="s">
        <v>55</v>
      </c>
      <c r="I17" s="93"/>
      <c r="J17" s="93" t="s">
        <v>56</v>
      </c>
      <c r="K17" s="93"/>
      <c r="L17" s="93" t="s">
        <v>57</v>
      </c>
      <c r="M17" s="93"/>
    </row>
    <row r="18" spans="2:13" ht="15.75" customHeight="1" x14ac:dyDescent="0.3">
      <c r="B18" s="94" t="s">
        <v>58</v>
      </c>
      <c r="C18" s="94"/>
      <c r="D18" s="95">
        <f>'Regression Results'!C11</f>
        <v>7.5205380000000002</v>
      </c>
      <c r="E18" s="95"/>
      <c r="F18" s="96">
        <f>'Regression Results'!D11</f>
        <v>1.4034610000000001</v>
      </c>
      <c r="G18" s="96"/>
      <c r="H18" s="96">
        <f>'Regression Results'!E11</f>
        <v>5.3585669999999999</v>
      </c>
      <c r="I18" s="96"/>
      <c r="J18" s="96">
        <f>'Regression Results'!F11</f>
        <v>0</v>
      </c>
      <c r="K18" s="96"/>
      <c r="L18" s="97" t="s">
        <v>59</v>
      </c>
      <c r="M18" s="97"/>
    </row>
    <row r="19" spans="2:13" ht="15.75" customHeight="1" x14ac:dyDescent="0.3">
      <c r="B19" s="98" t="s">
        <v>60</v>
      </c>
      <c r="C19" s="98"/>
      <c r="D19" s="99">
        <f>'Regression Results'!C12</f>
        <v>-0.65081</v>
      </c>
      <c r="E19" s="99"/>
      <c r="F19" s="100">
        <f>'Regression Results'!D12</f>
        <v>0.13860600000000001</v>
      </c>
      <c r="G19" s="100"/>
      <c r="H19" s="100">
        <f>'Regression Results'!E12</f>
        <v>-4.6954089999999997</v>
      </c>
      <c r="I19" s="100"/>
      <c r="J19" s="100">
        <f>'Regression Results'!F12</f>
        <v>0</v>
      </c>
      <c r="K19" s="100"/>
      <c r="L19" s="101" t="s">
        <v>59</v>
      </c>
      <c r="M19" s="101"/>
    </row>
    <row r="20" spans="2:13" ht="15.75" customHeight="1" x14ac:dyDescent="0.3">
      <c r="B20" s="94" t="s">
        <v>61</v>
      </c>
      <c r="C20" s="94"/>
      <c r="D20" s="95">
        <f>'Regression Results'!C13</f>
        <v>-49.775970000000001</v>
      </c>
      <c r="E20" s="95"/>
      <c r="F20" s="96">
        <f>'Regression Results'!D13</f>
        <v>12.863289999999999</v>
      </c>
      <c r="G20" s="96"/>
      <c r="H20" s="96">
        <f>'Regression Results'!E13</f>
        <v>-3.869615</v>
      </c>
      <c r="I20" s="96"/>
      <c r="J20" s="96">
        <f>'Regression Results'!F13</f>
        <v>4.0000000000000002E-4</v>
      </c>
      <c r="K20" s="96"/>
      <c r="L20" s="97" t="s">
        <v>59</v>
      </c>
      <c r="M20" s="97"/>
    </row>
    <row r="21" spans="2:13" ht="15.75" customHeight="1" x14ac:dyDescent="0.3">
      <c r="B21" s="98" t="s">
        <v>62</v>
      </c>
      <c r="C21" s="98"/>
      <c r="D21" s="99">
        <f>'Regression Results'!C14</f>
        <v>-3.5738020000000001</v>
      </c>
      <c r="E21" s="99"/>
      <c r="F21" s="100">
        <f>'Regression Results'!D14</f>
        <v>2.043847</v>
      </c>
      <c r="G21" s="100"/>
      <c r="H21" s="100">
        <f>'Regression Results'!E14</f>
        <v>-1.7485660000000001</v>
      </c>
      <c r="I21" s="100"/>
      <c r="J21" s="100">
        <f>'Regression Results'!F14</f>
        <v>8.8900000000000007E-2</v>
      </c>
      <c r="K21" s="100"/>
      <c r="L21" s="102" t="s">
        <v>63</v>
      </c>
      <c r="M21" s="102"/>
    </row>
    <row r="22" spans="2:13" ht="15.75" customHeight="1" x14ac:dyDescent="0.3">
      <c r="B22" s="94" t="s">
        <v>64</v>
      </c>
      <c r="C22" s="94"/>
      <c r="D22" s="95">
        <f>'Regression Results'!C15</f>
        <v>-0.91313</v>
      </c>
      <c r="E22" s="95"/>
      <c r="F22" s="96">
        <f>'Regression Results'!D15</f>
        <v>0.65135200000000004</v>
      </c>
      <c r="G22" s="96"/>
      <c r="H22" s="96">
        <f>'Regression Results'!E15</f>
        <v>-1.4018999999999999</v>
      </c>
      <c r="I22" s="96"/>
      <c r="J22" s="96">
        <f>'Regression Results'!F15</f>
        <v>0.16950000000000001</v>
      </c>
      <c r="K22" s="96"/>
      <c r="L22" s="103" t="s">
        <v>65</v>
      </c>
      <c r="M22" s="103"/>
    </row>
    <row r="23" spans="2:13" ht="15.75" customHeight="1" x14ac:dyDescent="0.3">
      <c r="B23" s="98" t="s">
        <v>66</v>
      </c>
      <c r="C23" s="98"/>
      <c r="D23" s="99">
        <f>'Regression Results'!C16</f>
        <v>-8.8213E-2</v>
      </c>
      <c r="E23" s="99"/>
      <c r="F23" s="100">
        <f>'Regression Results'!D16</f>
        <v>7.1915000000000007E-2</v>
      </c>
      <c r="G23" s="100"/>
      <c r="H23" s="100">
        <f>'Regression Results'!E16</f>
        <v>-1.2266239999999999</v>
      </c>
      <c r="I23" s="100"/>
      <c r="J23" s="100">
        <f>'Regression Results'!F16</f>
        <v>0.22789999999999999</v>
      </c>
      <c r="K23" s="100"/>
      <c r="L23" s="104" t="s">
        <v>65</v>
      </c>
      <c r="M23" s="104"/>
    </row>
    <row r="24" spans="2:13" ht="15.75" customHeight="1" x14ac:dyDescent="0.3">
      <c r="B24" s="94" t="s">
        <v>67</v>
      </c>
      <c r="C24" s="94"/>
      <c r="D24" s="95">
        <f>'Regression Results'!C17</f>
        <v>-4.4461000000000001E-2</v>
      </c>
      <c r="E24" s="95"/>
      <c r="F24" s="96">
        <f>'Regression Results'!D17</f>
        <v>0.150338</v>
      </c>
      <c r="G24" s="96"/>
      <c r="H24" s="96">
        <f>'Regression Results'!E17</f>
        <v>-0.29574099999999998</v>
      </c>
      <c r="I24" s="96"/>
      <c r="J24" s="96">
        <f>'Regression Results'!F17</f>
        <v>0.76910000000000001</v>
      </c>
      <c r="K24" s="96"/>
      <c r="L24" s="103" t="s">
        <v>65</v>
      </c>
      <c r="M24" s="103"/>
    </row>
    <row r="25" spans="2:13" ht="18" customHeight="1" x14ac:dyDescent="0.3"/>
    <row r="26" spans="2:13" ht="18" customHeight="1" x14ac:dyDescent="0.3">
      <c r="B26" s="105" t="s">
        <v>68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spans="2:13" ht="18" customHeight="1" x14ac:dyDescent="0.3">
      <c r="B27" s="93" t="s">
        <v>69</v>
      </c>
      <c r="C27" s="93"/>
      <c r="D27" s="93"/>
      <c r="E27" s="93" t="s">
        <v>70</v>
      </c>
      <c r="F27" s="93"/>
      <c r="G27" s="93"/>
      <c r="H27" s="93" t="s">
        <v>71</v>
      </c>
      <c r="I27" s="93"/>
      <c r="J27" s="93"/>
    </row>
    <row r="28" spans="2:13" ht="15.75" customHeight="1" x14ac:dyDescent="0.3">
      <c r="B28" s="106" t="s">
        <v>72</v>
      </c>
      <c r="C28" s="106"/>
      <c r="D28" s="106"/>
      <c r="E28" s="95">
        <f>'Regression Results'!C22</f>
        <v>0.82167199999999996</v>
      </c>
      <c r="F28" s="95"/>
      <c r="G28" s="95"/>
      <c r="H28" s="106" t="s">
        <v>73</v>
      </c>
      <c r="I28" s="106"/>
      <c r="J28" s="106"/>
    </row>
    <row r="29" spans="2:13" ht="15.75" customHeight="1" x14ac:dyDescent="0.3">
      <c r="B29" s="107" t="s">
        <v>74</v>
      </c>
      <c r="C29" s="107"/>
      <c r="D29" s="107"/>
      <c r="E29" s="99">
        <f>'Regression Results'!F22</f>
        <v>0.76718299999999995</v>
      </c>
      <c r="F29" s="99"/>
      <c r="G29" s="99"/>
      <c r="H29" s="107" t="s">
        <v>75</v>
      </c>
      <c r="I29" s="107"/>
      <c r="J29" s="107"/>
    </row>
    <row r="30" spans="2:13" ht="15.75" customHeight="1" x14ac:dyDescent="0.3">
      <c r="B30" s="106" t="s">
        <v>76</v>
      </c>
      <c r="C30" s="106"/>
      <c r="D30" s="106"/>
      <c r="E30" s="95">
        <f>'Regression Results'!F23</f>
        <v>15.07954</v>
      </c>
      <c r="F30" s="95"/>
      <c r="G30" s="95"/>
      <c r="H30" s="106" t="s">
        <v>77</v>
      </c>
      <c r="I30" s="106"/>
      <c r="J30" s="106"/>
    </row>
    <row r="31" spans="2:13" ht="15.75" customHeight="1" x14ac:dyDescent="0.3">
      <c r="B31" s="107" t="s">
        <v>78</v>
      </c>
      <c r="C31" s="107"/>
      <c r="D31" s="107"/>
      <c r="E31" s="99">
        <f>'Regression Results'!C24</f>
        <v>0.71514800000000001</v>
      </c>
      <c r="F31" s="99"/>
      <c r="G31" s="99"/>
      <c r="H31" s="107" t="s">
        <v>79</v>
      </c>
      <c r="I31" s="107"/>
      <c r="J31" s="107"/>
    </row>
    <row r="32" spans="2:13" ht="15.75" customHeight="1" x14ac:dyDescent="0.3">
      <c r="B32" s="106" t="s">
        <v>80</v>
      </c>
      <c r="C32" s="106"/>
      <c r="D32" s="106"/>
      <c r="E32" s="95">
        <f>'Regression Results'!F25</f>
        <v>1.2352449999999999</v>
      </c>
      <c r="F32" s="95"/>
      <c r="G32" s="95"/>
      <c r="H32" s="106" t="s">
        <v>81</v>
      </c>
      <c r="I32" s="106"/>
      <c r="J32" s="106"/>
    </row>
    <row r="33" spans="2:13" ht="18" customHeight="1" x14ac:dyDescent="0.3"/>
    <row r="34" spans="2:13" ht="18" customHeight="1" x14ac:dyDescent="0.3">
      <c r="B34" s="108" t="s">
        <v>82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</row>
    <row r="35" spans="2:13" ht="18" customHeight="1" x14ac:dyDescent="0.3"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</row>
    <row r="36" spans="2:13" ht="18" customHeight="1" x14ac:dyDescent="0.3"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</row>
    <row r="37" spans="2:13" ht="18" customHeight="1" x14ac:dyDescent="0.3"/>
    <row r="38" spans="2:13" ht="27.75" customHeight="1" x14ac:dyDescent="0.3"/>
    <row r="39" spans="2:13" ht="15.75" customHeight="1" x14ac:dyDescent="0.3"/>
    <row r="40" spans="2:13" ht="18" customHeight="1" x14ac:dyDescent="0.3"/>
    <row r="41" spans="2:13" ht="18" customHeight="1" x14ac:dyDescent="0.3"/>
    <row r="42" spans="2:13" ht="18" customHeight="1" x14ac:dyDescent="0.3"/>
    <row r="43" spans="2:13" ht="18" customHeight="1" x14ac:dyDescent="0.3"/>
    <row r="44" spans="2:13" ht="18" customHeight="1" x14ac:dyDescent="0.3"/>
    <row r="45" spans="2:13" ht="18" customHeight="1" x14ac:dyDescent="0.3"/>
    <row r="46" spans="2:13" ht="18" customHeight="1" x14ac:dyDescent="0.3"/>
    <row r="47" spans="2:13" ht="18" customHeight="1" x14ac:dyDescent="0.3"/>
    <row r="48" spans="2:13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86">
    <mergeCell ref="B32:D32"/>
    <mergeCell ref="E32:G32"/>
    <mergeCell ref="H32:J32"/>
    <mergeCell ref="B34:M36"/>
    <mergeCell ref="B30:D30"/>
    <mergeCell ref="E30:G30"/>
    <mergeCell ref="H30:J30"/>
    <mergeCell ref="B31:D31"/>
    <mergeCell ref="E31:G31"/>
    <mergeCell ref="H31:J31"/>
    <mergeCell ref="B28:D28"/>
    <mergeCell ref="E28:G28"/>
    <mergeCell ref="H28:J28"/>
    <mergeCell ref="B29:D29"/>
    <mergeCell ref="E29:G29"/>
    <mergeCell ref="H29:J29"/>
    <mergeCell ref="L24:M24"/>
    <mergeCell ref="B26:M26"/>
    <mergeCell ref="B27:D27"/>
    <mergeCell ref="E27:G27"/>
    <mergeCell ref="H27:J27"/>
    <mergeCell ref="B24:C24"/>
    <mergeCell ref="D24:E24"/>
    <mergeCell ref="F24:G24"/>
    <mergeCell ref="H24:I24"/>
    <mergeCell ref="J24:K24"/>
    <mergeCell ref="L22:M22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0:M20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18:M18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B16:M16"/>
    <mergeCell ref="B17:C17"/>
    <mergeCell ref="D17:E17"/>
    <mergeCell ref="F17:G17"/>
    <mergeCell ref="H17:I17"/>
    <mergeCell ref="J17:K17"/>
    <mergeCell ref="L17:M17"/>
    <mergeCell ref="L11:M12"/>
    <mergeCell ref="B13:C14"/>
    <mergeCell ref="D13:E14"/>
    <mergeCell ref="F13:G14"/>
    <mergeCell ref="H13:I14"/>
    <mergeCell ref="J13:K14"/>
    <mergeCell ref="L13:M14"/>
    <mergeCell ref="B11:C12"/>
    <mergeCell ref="D11:E12"/>
    <mergeCell ref="F11:G12"/>
    <mergeCell ref="H11:I12"/>
    <mergeCell ref="J11:K12"/>
    <mergeCell ref="B2:M4"/>
    <mergeCell ref="B5:M5"/>
    <mergeCell ref="B6:M6"/>
    <mergeCell ref="B7:M7"/>
    <mergeCell ref="B9:M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7"/>
  <sheetViews>
    <sheetView showGridLines="0" zoomScaleNormal="100" workbookViewId="0">
      <selection activeCell="K29" sqref="K29:K37"/>
    </sheetView>
  </sheetViews>
  <sheetFormatPr defaultColWidth="8.6640625" defaultRowHeight="14.4" x14ac:dyDescent="0.3"/>
  <cols>
    <col min="1" max="1" width="2" customWidth="1"/>
    <col min="2" max="2" width="22" customWidth="1"/>
    <col min="3" max="10" width="14" customWidth="1"/>
    <col min="11" max="11" width="36" customWidth="1"/>
  </cols>
  <sheetData>
    <row r="1" spans="2:10" ht="31.5" customHeight="1" x14ac:dyDescent="0.3">
      <c r="B1" s="9" t="s">
        <v>83</v>
      </c>
      <c r="C1" s="9"/>
      <c r="D1" s="9"/>
      <c r="E1" s="9"/>
      <c r="F1" s="9"/>
      <c r="G1" s="9"/>
      <c r="H1" s="9"/>
      <c r="I1" s="9"/>
      <c r="J1" s="9"/>
    </row>
    <row r="3" spans="2:10" ht="15" customHeight="1" x14ac:dyDescent="0.3">
      <c r="B3" s="109" t="s">
        <v>84</v>
      </c>
      <c r="C3" s="109"/>
      <c r="D3" s="109"/>
      <c r="E3" s="109"/>
      <c r="F3" s="109"/>
      <c r="G3" s="109"/>
      <c r="H3" s="109"/>
      <c r="I3" s="109"/>
      <c r="J3" s="109"/>
    </row>
    <row r="4" spans="2:10" ht="15" customHeight="1" x14ac:dyDescent="0.3">
      <c r="B4" s="40" t="s">
        <v>69</v>
      </c>
      <c r="C4" s="40" t="s">
        <v>85</v>
      </c>
      <c r="D4" s="40" t="s">
        <v>86</v>
      </c>
      <c r="E4" s="40" t="s">
        <v>87</v>
      </c>
      <c r="F4" s="40" t="s">
        <v>88</v>
      </c>
      <c r="G4" s="40" t="s">
        <v>89</v>
      </c>
      <c r="H4" s="40" t="s">
        <v>90</v>
      </c>
      <c r="I4" s="40" t="s">
        <v>91</v>
      </c>
      <c r="J4" s="40" t="s">
        <v>92</v>
      </c>
    </row>
    <row r="5" spans="2:10" ht="15.75" customHeight="1" x14ac:dyDescent="0.3">
      <c r="B5" s="31" t="s">
        <v>93</v>
      </c>
      <c r="C5" s="38">
        <f>' Panel Data'!D3</f>
        <v>0.13589999999999999</v>
      </c>
      <c r="D5" s="38">
        <f>' Panel Data'!D4</f>
        <v>5.1299999999999998E-2</v>
      </c>
      <c r="E5" s="38">
        <f>' Panel Data'!D5</f>
        <v>2.06E-2</v>
      </c>
      <c r="F5" s="38">
        <f>' Panel Data'!D6</f>
        <v>1.1900000000000001E-2</v>
      </c>
      <c r="G5" s="38">
        <f>' Panel Data'!D7</f>
        <v>9.4000000000000004E-3</v>
      </c>
      <c r="H5" s="38">
        <f>' Panel Data'!D8</f>
        <v>7.4000000000000003E-3</v>
      </c>
      <c r="I5" s="38">
        <f>' Panel Data'!D9</f>
        <v>3.8999999999999998E-3</v>
      </c>
      <c r="J5" s="38">
        <f>' Panel Data'!D10</f>
        <v>3.0999999999999999E-3</v>
      </c>
    </row>
    <row r="6" spans="2:10" ht="15.75" customHeight="1" x14ac:dyDescent="0.3">
      <c r="B6" s="33" t="s">
        <v>94</v>
      </c>
      <c r="C6" s="39">
        <f>' Panel Data'!E3</f>
        <v>8.5228000000000002</v>
      </c>
      <c r="D6" s="39">
        <f>' Panel Data'!E4</f>
        <v>8.69</v>
      </c>
      <c r="E6" s="39">
        <f>' Panel Data'!E5</f>
        <v>8.8057999999999996</v>
      </c>
      <c r="F6" s="39">
        <f>' Panel Data'!E6</f>
        <v>8.8839000000000006</v>
      </c>
      <c r="G6" s="39">
        <f>' Panel Data'!E7</f>
        <v>9.0352999999999994</v>
      </c>
      <c r="H6" s="39">
        <f>' Panel Data'!E8</f>
        <v>9.2080000000000002</v>
      </c>
      <c r="I6" s="39">
        <f>' Panel Data'!E9</f>
        <v>9.4328000000000003</v>
      </c>
      <c r="J6" s="39">
        <f>' Panel Data'!E10</f>
        <v>9.6659000000000006</v>
      </c>
    </row>
    <row r="7" spans="2:10" ht="15.75" customHeight="1" x14ac:dyDescent="0.3">
      <c r="B7" s="31" t="s">
        <v>95</v>
      </c>
      <c r="C7" s="41">
        <f>' Panel Data'!F3</f>
        <v>0.3705</v>
      </c>
      <c r="D7" s="41">
        <f>' Panel Data'!F4</f>
        <v>0.39860000000000001</v>
      </c>
      <c r="E7" s="41">
        <f>' Panel Data'!F5</f>
        <v>0.33929999999999999</v>
      </c>
      <c r="F7" s="41">
        <f>' Panel Data'!F6</f>
        <v>0.31979999999999997</v>
      </c>
      <c r="G7" s="41">
        <f>' Panel Data'!F7</f>
        <v>0.28749999999999998</v>
      </c>
      <c r="H7" s="41">
        <f>' Panel Data'!F8</f>
        <v>0.30030000000000001</v>
      </c>
      <c r="I7" s="41">
        <f>' Panel Data'!F9</f>
        <v>0.27050000000000002</v>
      </c>
      <c r="J7" s="41">
        <f>' Panel Data'!F10</f>
        <v>0.28989999999999999</v>
      </c>
    </row>
    <row r="8" spans="2:10" ht="15.75" customHeight="1" x14ac:dyDescent="0.3">
      <c r="B8" s="33" t="s">
        <v>96</v>
      </c>
      <c r="C8" s="42">
        <f>' Panel Data'!G3</f>
        <v>8.14</v>
      </c>
      <c r="D8" s="42">
        <f>' Panel Data'!G4</f>
        <v>8.58</v>
      </c>
      <c r="E8" s="42">
        <f>' Panel Data'!G5</f>
        <v>23.13</v>
      </c>
      <c r="F8" s="42">
        <f>' Panel Data'!G6</f>
        <v>26.38</v>
      </c>
      <c r="G8" s="42">
        <f>' Panel Data'!G7</f>
        <v>38.79</v>
      </c>
      <c r="H8" s="42">
        <f>' Panel Data'!G8</f>
        <v>32.06</v>
      </c>
      <c r="I8" s="42">
        <f>' Panel Data'!G9</f>
        <v>25.12</v>
      </c>
      <c r="J8" s="42">
        <f>' Panel Data'!G10</f>
        <v>18.649999999999999</v>
      </c>
    </row>
    <row r="9" spans="2:10" ht="15.75" customHeight="1" x14ac:dyDescent="0.3">
      <c r="B9" s="31" t="s">
        <v>97</v>
      </c>
      <c r="C9" s="41">
        <f>' Panel Data'!H3</f>
        <v>0.14019999999999999</v>
      </c>
      <c r="D9" s="41">
        <f>' Panel Data'!H4</f>
        <v>0.1227</v>
      </c>
      <c r="E9" s="41">
        <f>' Panel Data'!H5</f>
        <v>9.2799999999999994E-2</v>
      </c>
      <c r="F9" s="41">
        <f>' Panel Data'!H6</f>
        <v>-9.2999999999999992E-3</v>
      </c>
      <c r="G9" s="41">
        <f>' Panel Data'!H7</f>
        <v>0.3871</v>
      </c>
      <c r="H9" s="41">
        <f>' Panel Data'!H8</f>
        <v>0.15110000000000001</v>
      </c>
      <c r="I9" s="41">
        <f>' Panel Data'!H9</f>
        <v>0.30919999999999997</v>
      </c>
      <c r="J9" s="41">
        <f>' Panel Data'!H10</f>
        <v>0.20519999999999999</v>
      </c>
    </row>
    <row r="10" spans="2:10" ht="15.75" customHeight="1" x14ac:dyDescent="0.3">
      <c r="B10" s="33" t="s">
        <v>98</v>
      </c>
      <c r="C10" s="43">
        <f>' Panel Data'!I3</f>
        <v>8.5900000000000004E-2</v>
      </c>
      <c r="D10" s="43">
        <f>' Panel Data'!I4</f>
        <v>8.9700000000000002E-2</v>
      </c>
      <c r="E10" s="43">
        <f>' Panel Data'!I5</f>
        <v>0.1169</v>
      </c>
      <c r="F10" s="43">
        <f>' Panel Data'!I6</f>
        <v>0.1143</v>
      </c>
      <c r="G10" s="43">
        <f>' Panel Data'!I7</f>
        <v>0.1208</v>
      </c>
      <c r="H10" s="43">
        <f>' Panel Data'!I8</f>
        <v>0.12139999999999999</v>
      </c>
      <c r="I10" s="43">
        <f>' Panel Data'!I9</f>
        <v>0.13389999999999999</v>
      </c>
      <c r="J10" s="43">
        <f>' Panel Data'!I10</f>
        <v>0.12570000000000001</v>
      </c>
    </row>
    <row r="11" spans="2:10" ht="15.75" customHeight="1" x14ac:dyDescent="0.3">
      <c r="B11" s="31" t="s">
        <v>99</v>
      </c>
      <c r="C11" s="41">
        <f>' Panel Data'!J3</f>
        <v>3.6200000000000003E-2</v>
      </c>
      <c r="D11" s="41">
        <f>' Panel Data'!J4</f>
        <v>3.3099999999999997E-2</v>
      </c>
      <c r="E11" s="41">
        <f>' Panel Data'!J5</f>
        <v>3.4200000000000001E-2</v>
      </c>
      <c r="F11" s="41">
        <f>' Panel Data'!J6</f>
        <v>3.5099999999999999E-2</v>
      </c>
      <c r="G11" s="41">
        <f>' Panel Data'!J7</f>
        <v>3.2300000000000002E-2</v>
      </c>
      <c r="H11" s="41">
        <f>' Panel Data'!J8</f>
        <v>3.0599999999999999E-2</v>
      </c>
      <c r="I11" s="41">
        <f>' Panel Data'!J9</f>
        <v>2.9100000000000001E-2</v>
      </c>
      <c r="J11" s="41">
        <f>' Panel Data'!J10</f>
        <v>2.81E-2</v>
      </c>
    </row>
    <row r="13" spans="2:10" ht="15" customHeight="1" x14ac:dyDescent="0.3">
      <c r="B13" s="110" t="s">
        <v>200</v>
      </c>
      <c r="C13" s="110"/>
      <c r="D13" s="110"/>
      <c r="E13" s="110"/>
      <c r="F13" s="110"/>
      <c r="G13" s="110"/>
      <c r="H13" s="110"/>
      <c r="I13" s="110"/>
      <c r="J13" s="110"/>
    </row>
    <row r="14" spans="2:10" ht="15" customHeight="1" x14ac:dyDescent="0.3">
      <c r="B14" s="44" t="s">
        <v>100</v>
      </c>
      <c r="C14" s="45" t="s">
        <v>101</v>
      </c>
      <c r="D14" s="46">
        <f t="shared" ref="D14:J14" si="0">(D5-C5)/C5</f>
        <v>-0.62251655629139069</v>
      </c>
      <c r="E14" s="46">
        <f t="shared" si="0"/>
        <v>-0.59844054580896688</v>
      </c>
      <c r="F14" s="46">
        <f t="shared" si="0"/>
        <v>-0.42233009708737862</v>
      </c>
      <c r="G14" s="46">
        <f t="shared" si="0"/>
        <v>-0.21008403361344541</v>
      </c>
      <c r="H14" s="46">
        <f t="shared" si="0"/>
        <v>-0.21276595744680851</v>
      </c>
      <c r="I14" s="46">
        <f t="shared" si="0"/>
        <v>-0.47297297297297303</v>
      </c>
      <c r="J14" s="46">
        <f t="shared" si="0"/>
        <v>-0.20512820512820512</v>
      </c>
    </row>
    <row r="15" spans="2:10" ht="15" customHeight="1" x14ac:dyDescent="0.3"/>
    <row r="16" spans="2:10" x14ac:dyDescent="0.3">
      <c r="B16" s="109" t="s">
        <v>102</v>
      </c>
      <c r="C16" s="109"/>
      <c r="D16" s="109"/>
      <c r="E16" s="109"/>
      <c r="F16" s="109"/>
      <c r="G16" s="109"/>
      <c r="H16" s="109"/>
      <c r="I16" s="109"/>
      <c r="J16" s="109"/>
    </row>
    <row r="17" spans="2:10" ht="15" customHeight="1" x14ac:dyDescent="0.3">
      <c r="B17" s="40" t="s">
        <v>69</v>
      </c>
      <c r="C17" s="40" t="s">
        <v>85</v>
      </c>
      <c r="D17" s="40" t="s">
        <v>86</v>
      </c>
      <c r="E17" s="40" t="s">
        <v>87</v>
      </c>
      <c r="F17" s="40" t="s">
        <v>88</v>
      </c>
      <c r="G17" s="40" t="s">
        <v>89</v>
      </c>
      <c r="H17" s="40" t="s">
        <v>90</v>
      </c>
      <c r="I17" s="40" t="s">
        <v>91</v>
      </c>
      <c r="J17" s="40" t="s">
        <v>92</v>
      </c>
    </row>
    <row r="18" spans="2:10" ht="15" customHeight="1" x14ac:dyDescent="0.3">
      <c r="B18" s="31" t="s">
        <v>103</v>
      </c>
      <c r="C18" s="47">
        <v>30</v>
      </c>
      <c r="D18" s="47">
        <v>30</v>
      </c>
      <c r="E18" s="47">
        <v>30</v>
      </c>
      <c r="F18" s="47">
        <v>30</v>
      </c>
      <c r="G18" s="47">
        <v>30</v>
      </c>
      <c r="H18" s="47">
        <v>30</v>
      </c>
      <c r="I18" s="47">
        <v>30</v>
      </c>
      <c r="J18" s="47">
        <v>30</v>
      </c>
    </row>
    <row r="19" spans="2:10" ht="15.75" customHeight="1" x14ac:dyDescent="0.3">
      <c r="B19" s="33" t="s">
        <v>104</v>
      </c>
      <c r="C19" s="48">
        <v>3045</v>
      </c>
      <c r="D19" s="48">
        <v>3876</v>
      </c>
      <c r="E19" s="48">
        <v>4921</v>
      </c>
      <c r="F19" s="48">
        <v>5836</v>
      </c>
      <c r="G19" s="48">
        <v>7201</v>
      </c>
      <c r="H19" s="48">
        <v>8643</v>
      </c>
      <c r="I19" s="48">
        <v>10192</v>
      </c>
      <c r="J19" s="48">
        <v>11985</v>
      </c>
    </row>
    <row r="20" spans="2:10" ht="15.75" customHeight="1" x14ac:dyDescent="0.3">
      <c r="B20" s="31" t="s">
        <v>105</v>
      </c>
      <c r="C20" s="47">
        <v>500</v>
      </c>
      <c r="D20" s="47">
        <v>220</v>
      </c>
      <c r="E20" s="47">
        <v>110</v>
      </c>
      <c r="F20" s="47">
        <v>75</v>
      </c>
      <c r="G20" s="47">
        <v>42</v>
      </c>
      <c r="H20" s="47">
        <v>35</v>
      </c>
      <c r="I20" s="47">
        <v>22</v>
      </c>
      <c r="J20" s="47">
        <v>15</v>
      </c>
    </row>
    <row r="21" spans="2:10" ht="15.75" customHeight="1" x14ac:dyDescent="0.3">
      <c r="B21" s="33" t="s">
        <v>106</v>
      </c>
      <c r="C21" s="48">
        <v>280</v>
      </c>
      <c r="D21" s="48">
        <v>148</v>
      </c>
      <c r="E21" s="48">
        <v>62</v>
      </c>
      <c r="F21" s="48">
        <v>32</v>
      </c>
      <c r="G21" s="48">
        <v>18</v>
      </c>
      <c r="H21" s="48">
        <v>10</v>
      </c>
      <c r="I21" s="48">
        <v>6</v>
      </c>
      <c r="J21" s="48">
        <v>3</v>
      </c>
    </row>
    <row r="22" spans="2:10" ht="15.75" customHeight="1" x14ac:dyDescent="0.3">
      <c r="B22" s="31" t="s">
        <v>107</v>
      </c>
      <c r="C22" s="49">
        <f t="shared" ref="C22:J22" si="1">C20+C21</f>
        <v>780</v>
      </c>
      <c r="D22" s="49">
        <f t="shared" si="1"/>
        <v>368</v>
      </c>
      <c r="E22" s="49">
        <f t="shared" si="1"/>
        <v>172</v>
      </c>
      <c r="F22" s="49">
        <f t="shared" si="1"/>
        <v>107</v>
      </c>
      <c r="G22" s="49">
        <f t="shared" si="1"/>
        <v>60</v>
      </c>
      <c r="H22" s="49">
        <f t="shared" si="1"/>
        <v>45</v>
      </c>
      <c r="I22" s="49">
        <f t="shared" si="1"/>
        <v>28</v>
      </c>
      <c r="J22" s="49">
        <f t="shared" si="1"/>
        <v>18</v>
      </c>
    </row>
    <row r="23" spans="2:10" ht="15.75" customHeight="1" x14ac:dyDescent="0.3">
      <c r="B23" s="33" t="s">
        <v>108</v>
      </c>
      <c r="C23" s="43">
        <f t="shared" ref="C23:J23" si="2">C22/(C18+C19+C22)</f>
        <v>0.20233463035019456</v>
      </c>
      <c r="D23" s="43">
        <f t="shared" si="2"/>
        <v>8.6102012166588679E-2</v>
      </c>
      <c r="E23" s="43">
        <f t="shared" si="2"/>
        <v>3.357407768885419E-2</v>
      </c>
      <c r="F23" s="43">
        <f t="shared" si="2"/>
        <v>1.7913946090741671E-2</v>
      </c>
      <c r="G23" s="43">
        <f t="shared" si="2"/>
        <v>8.2293238238924701E-3</v>
      </c>
      <c r="H23" s="43">
        <f t="shared" si="2"/>
        <v>5.1617343427391603E-3</v>
      </c>
      <c r="I23" s="43">
        <f t="shared" si="2"/>
        <v>2.7317073170731706E-3</v>
      </c>
      <c r="J23" s="43">
        <f t="shared" si="2"/>
        <v>1.4958863126402393E-3</v>
      </c>
    </row>
    <row r="24" spans="2:10" ht="15.75" customHeight="1" x14ac:dyDescent="0.3"/>
    <row r="27" spans="2:10" x14ac:dyDescent="0.3">
      <c r="B27" s="92" t="s">
        <v>109</v>
      </c>
      <c r="C27" s="92"/>
      <c r="D27" s="92"/>
      <c r="E27" s="92"/>
      <c r="F27" s="92"/>
      <c r="G27" s="92"/>
      <c r="H27" s="92"/>
      <c r="I27" s="92"/>
      <c r="J27" s="92"/>
    </row>
    <row r="28" spans="2:10" ht="15" customHeight="1" x14ac:dyDescent="0.3">
      <c r="B28" s="40" t="s">
        <v>69</v>
      </c>
      <c r="C28" s="40" t="s">
        <v>85</v>
      </c>
      <c r="D28" s="40" t="s">
        <v>86</v>
      </c>
      <c r="E28" s="40" t="s">
        <v>87</v>
      </c>
      <c r="F28" s="40" t="s">
        <v>88</v>
      </c>
      <c r="G28" s="40" t="s">
        <v>89</v>
      </c>
      <c r="H28" s="40" t="s">
        <v>90</v>
      </c>
      <c r="I28" s="40" t="s">
        <v>91</v>
      </c>
      <c r="J28" s="40" t="s">
        <v>92</v>
      </c>
    </row>
    <row r="29" spans="2:10" ht="15" customHeight="1" x14ac:dyDescent="0.3">
      <c r="B29" s="31" t="s">
        <v>110</v>
      </c>
      <c r="C29" s="47">
        <v>421</v>
      </c>
      <c r="D29" s="47">
        <v>502</v>
      </c>
      <c r="E29" s="47">
        <v>633</v>
      </c>
      <c r="F29" s="47">
        <v>721</v>
      </c>
      <c r="G29" s="47">
        <v>1089</v>
      </c>
      <c r="H29" s="47">
        <v>1256</v>
      </c>
      <c r="I29" s="47">
        <v>1598</v>
      </c>
      <c r="J29" s="47">
        <v>1852</v>
      </c>
    </row>
    <row r="30" spans="2:10" ht="15.75" customHeight="1" x14ac:dyDescent="0.3">
      <c r="B30" s="33" t="s">
        <v>111</v>
      </c>
      <c r="C30" s="48">
        <v>52</v>
      </c>
      <c r="D30" s="48">
        <v>59</v>
      </c>
      <c r="E30" s="48">
        <v>27</v>
      </c>
      <c r="F30" s="48">
        <v>27</v>
      </c>
      <c r="G30" s="48">
        <v>28</v>
      </c>
      <c r="H30" s="48">
        <v>39</v>
      </c>
      <c r="I30" s="48">
        <v>64</v>
      </c>
      <c r="J30" s="48">
        <v>99</v>
      </c>
    </row>
    <row r="31" spans="2:10" ht="15.75" customHeight="1" x14ac:dyDescent="0.3">
      <c r="B31" s="31" t="s">
        <v>112</v>
      </c>
      <c r="C31" s="50">
        <f t="shared" ref="C31:J31" si="3">C29-C30</f>
        <v>369</v>
      </c>
      <c r="D31" s="50">
        <f t="shared" si="3"/>
        <v>443</v>
      </c>
      <c r="E31" s="50">
        <f t="shared" si="3"/>
        <v>606</v>
      </c>
      <c r="F31" s="50">
        <f t="shared" si="3"/>
        <v>694</v>
      </c>
      <c r="G31" s="50">
        <f t="shared" si="3"/>
        <v>1061</v>
      </c>
      <c r="H31" s="50">
        <f t="shared" si="3"/>
        <v>1217</v>
      </c>
      <c r="I31" s="50">
        <f t="shared" si="3"/>
        <v>1534</v>
      </c>
      <c r="J31" s="50">
        <f t="shared" si="3"/>
        <v>1753</v>
      </c>
    </row>
    <row r="32" spans="2:10" ht="15.75" customHeight="1" x14ac:dyDescent="0.3">
      <c r="B32" s="33" t="s">
        <v>113</v>
      </c>
      <c r="C32" s="42">
        <f t="shared" ref="C32:J32" si="4">C31*0.2517</f>
        <v>92.877299999999991</v>
      </c>
      <c r="D32" s="42">
        <f t="shared" si="4"/>
        <v>111.50309999999999</v>
      </c>
      <c r="E32" s="42">
        <f t="shared" si="4"/>
        <v>152.53019999999998</v>
      </c>
      <c r="F32" s="42">
        <f t="shared" si="4"/>
        <v>174.67979999999997</v>
      </c>
      <c r="G32" s="42">
        <f t="shared" si="4"/>
        <v>267.05369999999999</v>
      </c>
      <c r="H32" s="42">
        <f t="shared" si="4"/>
        <v>306.31889999999999</v>
      </c>
      <c r="I32" s="42">
        <f t="shared" si="4"/>
        <v>386.10779999999994</v>
      </c>
      <c r="J32" s="42">
        <f t="shared" si="4"/>
        <v>441.23009999999994</v>
      </c>
    </row>
    <row r="33" spans="2:10" ht="15.75" customHeight="1" x14ac:dyDescent="0.3">
      <c r="B33" s="31" t="s">
        <v>114</v>
      </c>
      <c r="C33" s="49">
        <f t="shared" ref="C33:J33" si="5">C31-C32</f>
        <v>276.12270000000001</v>
      </c>
      <c r="D33" s="49">
        <f t="shared" si="5"/>
        <v>331.49689999999998</v>
      </c>
      <c r="E33" s="49">
        <f t="shared" si="5"/>
        <v>453.46980000000002</v>
      </c>
      <c r="F33" s="49">
        <f t="shared" si="5"/>
        <v>519.3202</v>
      </c>
      <c r="G33" s="49">
        <f t="shared" si="5"/>
        <v>793.94630000000006</v>
      </c>
      <c r="H33" s="49">
        <f t="shared" si="5"/>
        <v>910.68110000000001</v>
      </c>
      <c r="I33" s="49">
        <f t="shared" si="5"/>
        <v>1147.8922</v>
      </c>
      <c r="J33" s="49">
        <f t="shared" si="5"/>
        <v>1311.7699</v>
      </c>
    </row>
    <row r="34" spans="2:10" ht="15.75" customHeight="1" x14ac:dyDescent="0.3">
      <c r="B34" s="33" t="s">
        <v>115</v>
      </c>
      <c r="C34" s="22">
        <v>14.93</v>
      </c>
      <c r="D34" s="22">
        <v>14.93</v>
      </c>
      <c r="E34" s="22">
        <v>14.93</v>
      </c>
      <c r="F34" s="22">
        <v>14.93</v>
      </c>
      <c r="G34" s="22">
        <v>14.93</v>
      </c>
      <c r="H34" s="22">
        <v>14.93</v>
      </c>
      <c r="I34" s="22">
        <v>14.93</v>
      </c>
      <c r="J34" s="22">
        <v>14.93</v>
      </c>
    </row>
    <row r="35" spans="2:10" ht="15.75" customHeight="1" x14ac:dyDescent="0.3">
      <c r="B35" s="31" t="s">
        <v>116</v>
      </c>
      <c r="C35" s="50">
        <f t="shared" ref="C35:J35" si="6">C33/C34</f>
        <v>18.494487608841261</v>
      </c>
      <c r="D35" s="50">
        <f t="shared" si="6"/>
        <v>22.203409243134626</v>
      </c>
      <c r="E35" s="50">
        <f t="shared" si="6"/>
        <v>30.37306095110516</v>
      </c>
      <c r="F35" s="50">
        <f t="shared" si="6"/>
        <v>34.783670462156735</v>
      </c>
      <c r="G35" s="50">
        <f t="shared" si="6"/>
        <v>53.177916945746823</v>
      </c>
      <c r="H35" s="50">
        <f t="shared" si="6"/>
        <v>60.996724715338246</v>
      </c>
      <c r="I35" s="50">
        <f t="shared" si="6"/>
        <v>76.884943067649033</v>
      </c>
      <c r="J35" s="50">
        <f t="shared" si="6"/>
        <v>87.861346282652377</v>
      </c>
    </row>
    <row r="36" spans="2:10" ht="15.75" customHeight="1" x14ac:dyDescent="0.3">
      <c r="B36" s="33" t="s">
        <v>117</v>
      </c>
      <c r="C36" s="42">
        <f t="shared" ref="C36:J36" si="7">IF(C31&lt;&gt;0,C29/C31,0)</f>
        <v>1.1409214092140922</v>
      </c>
      <c r="D36" s="42">
        <f t="shared" si="7"/>
        <v>1.1331828442437923</v>
      </c>
      <c r="E36" s="42">
        <f t="shared" si="7"/>
        <v>1.0445544554455446</v>
      </c>
      <c r="F36" s="42">
        <f t="shared" si="7"/>
        <v>1.0389048991354466</v>
      </c>
      <c r="G36" s="42">
        <f t="shared" si="7"/>
        <v>1.0263901979264844</v>
      </c>
      <c r="H36" s="42">
        <f t="shared" si="7"/>
        <v>1.0320460147904684</v>
      </c>
      <c r="I36" s="42">
        <f t="shared" si="7"/>
        <v>1.0417209908735332</v>
      </c>
      <c r="J36" s="42">
        <f t="shared" si="7"/>
        <v>1.0564746149458071</v>
      </c>
    </row>
    <row r="37" spans="2:10" ht="15.75" customHeight="1" x14ac:dyDescent="0.3"/>
  </sheetData>
  <mergeCells count="5">
    <mergeCell ref="B27:J27"/>
    <mergeCell ref="B1:J1"/>
    <mergeCell ref="B3:J3"/>
    <mergeCell ref="B13:J13"/>
    <mergeCell ref="B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1"/>
  <sheetViews>
    <sheetView showGridLines="0" topLeftCell="A21" zoomScaleNormal="100" workbookViewId="0">
      <selection activeCell="I33" sqref="I33:I35"/>
    </sheetView>
  </sheetViews>
  <sheetFormatPr defaultColWidth="8.6640625" defaultRowHeight="14.4" x14ac:dyDescent="0.3"/>
  <cols>
    <col min="1" max="1" width="2" customWidth="1"/>
    <col min="2" max="9" width="20" customWidth="1"/>
  </cols>
  <sheetData>
    <row r="1" spans="2:9" ht="30" customHeight="1" x14ac:dyDescent="0.3">
      <c r="B1" s="8" t="s">
        <v>118</v>
      </c>
      <c r="C1" s="8"/>
      <c r="D1" s="8"/>
      <c r="E1" s="8"/>
      <c r="F1" s="8"/>
      <c r="G1" s="8"/>
      <c r="H1" s="8"/>
      <c r="I1" s="8"/>
    </row>
    <row r="2" spans="2:9" ht="39.75" customHeight="1" x14ac:dyDescent="0.3">
      <c r="B2" s="11" t="s">
        <v>52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1" t="s">
        <v>26</v>
      </c>
      <c r="I2" s="11" t="s">
        <v>27</v>
      </c>
    </row>
    <row r="3" spans="2:9" ht="21.75" customHeight="1" x14ac:dyDescent="0.3">
      <c r="B3" s="11" t="s">
        <v>21</v>
      </c>
      <c r="C3" s="51">
        <v>1</v>
      </c>
      <c r="D3" s="52">
        <v>-0.65690800000000005</v>
      </c>
      <c r="E3" s="53">
        <v>-0.36462600000000001</v>
      </c>
      <c r="F3" s="54">
        <v>-0.75044299999999997</v>
      </c>
      <c r="G3" s="54">
        <v>-0.707978</v>
      </c>
      <c r="H3" s="35">
        <v>-1.9554999999999999E-2</v>
      </c>
      <c r="I3" s="35">
        <v>-0.29365400000000003</v>
      </c>
    </row>
    <row r="4" spans="2:9" ht="21.75" customHeight="1" x14ac:dyDescent="0.3">
      <c r="B4" s="11" t="s">
        <v>22</v>
      </c>
      <c r="C4" s="52">
        <v>-0.65690800000000005</v>
      </c>
      <c r="D4" s="51">
        <v>1</v>
      </c>
      <c r="E4" s="55">
        <v>0.576152</v>
      </c>
      <c r="F4" s="55">
        <v>0.60429999999999995</v>
      </c>
      <c r="G4" s="56">
        <v>0.38433699999999998</v>
      </c>
      <c r="H4" s="35">
        <v>3.9474000000000002E-2</v>
      </c>
      <c r="I4" s="56">
        <v>0.42557</v>
      </c>
    </row>
    <row r="5" spans="2:9" ht="21.75" customHeight="1" x14ac:dyDescent="0.3">
      <c r="B5" s="11" t="s">
        <v>23</v>
      </c>
      <c r="C5" s="53">
        <v>-0.36462600000000001</v>
      </c>
      <c r="D5" s="55">
        <v>0.576152</v>
      </c>
      <c r="E5" s="51">
        <v>1</v>
      </c>
      <c r="F5" s="55">
        <v>0.53754000000000002</v>
      </c>
      <c r="G5" s="35">
        <v>0.177564</v>
      </c>
      <c r="H5" s="35">
        <v>-4.1175999999999997E-2</v>
      </c>
      <c r="I5" s="57">
        <v>0.88251199999999996</v>
      </c>
    </row>
    <row r="6" spans="2:9" ht="21.75" customHeight="1" x14ac:dyDescent="0.3">
      <c r="B6" s="11" t="s">
        <v>24</v>
      </c>
      <c r="C6" s="54">
        <v>-0.75044299999999997</v>
      </c>
      <c r="D6" s="55">
        <v>0.60429999999999995</v>
      </c>
      <c r="E6" s="55">
        <v>0.53754000000000002</v>
      </c>
      <c r="F6" s="51">
        <v>1</v>
      </c>
      <c r="G6" s="57">
        <v>0.83777299999999999</v>
      </c>
      <c r="H6" s="35">
        <v>7.6818999999999998E-2</v>
      </c>
      <c r="I6" s="56">
        <v>0.37479600000000002</v>
      </c>
    </row>
    <row r="7" spans="2:9" ht="21.75" customHeight="1" x14ac:dyDescent="0.3">
      <c r="B7" s="11" t="s">
        <v>25</v>
      </c>
      <c r="C7" s="54">
        <v>-0.707978</v>
      </c>
      <c r="D7" s="56">
        <v>0.38433699999999998</v>
      </c>
      <c r="E7" s="35">
        <v>0.177564</v>
      </c>
      <c r="F7" s="57">
        <v>0.83777299999999999</v>
      </c>
      <c r="G7" s="51">
        <v>1</v>
      </c>
      <c r="H7" s="35">
        <v>-5.407E-2</v>
      </c>
      <c r="I7" s="35">
        <v>2.6492999999999999E-2</v>
      </c>
    </row>
    <row r="8" spans="2:9" ht="21.75" customHeight="1" x14ac:dyDescent="0.3">
      <c r="B8" s="11" t="s">
        <v>26</v>
      </c>
      <c r="C8" s="35">
        <v>-1.9554999999999999E-2</v>
      </c>
      <c r="D8" s="35">
        <v>3.9474000000000002E-2</v>
      </c>
      <c r="E8" s="35">
        <v>-4.1175999999999997E-2</v>
      </c>
      <c r="F8" s="35">
        <v>7.6818999999999998E-2</v>
      </c>
      <c r="G8" s="35">
        <v>-5.407E-2</v>
      </c>
      <c r="H8" s="51">
        <v>1</v>
      </c>
      <c r="I8" s="35">
        <v>-1.75E-3</v>
      </c>
    </row>
    <row r="9" spans="2:9" ht="21.75" customHeight="1" x14ac:dyDescent="0.3">
      <c r="B9" s="11" t="s">
        <v>27</v>
      </c>
      <c r="C9" s="35">
        <v>-0.29365400000000003</v>
      </c>
      <c r="D9" s="56">
        <v>0.42557</v>
      </c>
      <c r="E9" s="57">
        <v>0.88251199999999996</v>
      </c>
      <c r="F9" s="56">
        <v>0.37479600000000002</v>
      </c>
      <c r="G9" s="35">
        <v>2.6492999999999999E-2</v>
      </c>
      <c r="H9" s="35">
        <v>-1.75E-3</v>
      </c>
      <c r="I9" s="51">
        <v>1</v>
      </c>
    </row>
    <row r="12" spans="2:9" ht="27.75" customHeight="1" x14ac:dyDescent="0.3">
      <c r="B12" s="111" t="s">
        <v>119</v>
      </c>
      <c r="C12" s="111"/>
      <c r="D12" s="111"/>
      <c r="E12" s="111"/>
      <c r="F12" s="111"/>
      <c r="G12" s="111"/>
      <c r="H12" s="111"/>
      <c r="I12" s="111"/>
    </row>
    <row r="14" spans="2:9" ht="15" customHeight="1" x14ac:dyDescent="0.3">
      <c r="B14" s="112" t="s">
        <v>120</v>
      </c>
      <c r="C14" s="112"/>
      <c r="D14" s="112"/>
      <c r="E14" s="112"/>
      <c r="F14" s="112"/>
      <c r="G14" s="112"/>
      <c r="H14" s="112"/>
      <c r="I14" s="112"/>
    </row>
    <row r="15" spans="2:9" ht="15.75" customHeight="1" x14ac:dyDescent="0.3">
      <c r="B15" s="31" t="s">
        <v>121</v>
      </c>
      <c r="D15" s="113">
        <v>-0.75</v>
      </c>
      <c r="E15" s="113"/>
      <c r="F15" s="114" t="s">
        <v>122</v>
      </c>
      <c r="G15" s="114"/>
      <c r="H15" s="114"/>
      <c r="I15" s="114"/>
    </row>
    <row r="16" spans="2:9" ht="15.75" customHeight="1" x14ac:dyDescent="0.3">
      <c r="B16" s="33" t="s">
        <v>123</v>
      </c>
      <c r="D16" s="115">
        <v>-0.70799999999999996</v>
      </c>
      <c r="E16" s="115"/>
      <c r="F16" s="116" t="s">
        <v>124</v>
      </c>
      <c r="G16" s="116"/>
      <c r="H16" s="116"/>
      <c r="I16" s="116"/>
    </row>
    <row r="17" spans="2:9" ht="15.75" customHeight="1" x14ac:dyDescent="0.3">
      <c r="B17" s="31" t="s">
        <v>125</v>
      </c>
      <c r="D17" s="113">
        <v>-0.65700000000000003</v>
      </c>
      <c r="E17" s="113"/>
      <c r="F17" s="114" t="s">
        <v>126</v>
      </c>
      <c r="G17" s="114"/>
      <c r="H17" s="114"/>
      <c r="I17" s="114"/>
    </row>
    <row r="18" spans="2:9" ht="15.75" customHeight="1" x14ac:dyDescent="0.3">
      <c r="B18" s="33" t="s">
        <v>127</v>
      </c>
      <c r="D18" s="115">
        <v>0.88300000000000001</v>
      </c>
      <c r="E18" s="115"/>
      <c r="F18" s="116" t="s">
        <v>128</v>
      </c>
      <c r="G18" s="116"/>
      <c r="H18" s="116"/>
      <c r="I18" s="116"/>
    </row>
    <row r="19" spans="2:9" ht="15.75" customHeight="1" x14ac:dyDescent="0.3">
      <c r="B19" s="31" t="s">
        <v>129</v>
      </c>
      <c r="D19" s="113">
        <v>0.83799999999999997</v>
      </c>
      <c r="E19" s="113"/>
      <c r="F19" s="114" t="s">
        <v>130</v>
      </c>
      <c r="G19" s="114"/>
      <c r="H19" s="114"/>
      <c r="I19" s="114"/>
    </row>
    <row r="20" spans="2:9" ht="15.75" customHeight="1" x14ac:dyDescent="0.3">
      <c r="B20" s="33" t="s">
        <v>131</v>
      </c>
      <c r="D20" s="117" t="s">
        <v>132</v>
      </c>
      <c r="E20" s="117"/>
      <c r="F20" s="116" t="s">
        <v>133</v>
      </c>
      <c r="G20" s="116"/>
      <c r="H20" s="116"/>
      <c r="I20" s="116"/>
    </row>
    <row r="22" spans="2:9" ht="18" customHeight="1" x14ac:dyDescent="0.3">
      <c r="B22" s="118" t="s">
        <v>134</v>
      </c>
      <c r="C22" s="118"/>
      <c r="D22" s="118"/>
      <c r="E22" s="118"/>
      <c r="F22" s="118"/>
      <c r="G22" s="118"/>
      <c r="H22" s="118"/>
      <c r="I22" s="118"/>
    </row>
    <row r="23" spans="2:9" ht="15" customHeight="1" x14ac:dyDescent="0.3">
      <c r="B23" s="93" t="s">
        <v>135</v>
      </c>
      <c r="C23" s="93"/>
      <c r="D23" s="93" t="s">
        <v>136</v>
      </c>
      <c r="E23" s="93"/>
      <c r="F23" s="10" t="s">
        <v>137</v>
      </c>
      <c r="G23" s="10" t="s">
        <v>138</v>
      </c>
      <c r="H23" s="93"/>
      <c r="I23" s="93"/>
    </row>
    <row r="24" spans="2:9" ht="15.75" customHeight="1" x14ac:dyDescent="0.3">
      <c r="B24" s="119" t="s">
        <v>139</v>
      </c>
      <c r="C24" s="119"/>
      <c r="D24" s="120">
        <f>CORREL(' Panel Data'!D3:D50,' Panel Data'!E3:E50)</f>
        <v>-0.65690774194512536</v>
      </c>
      <c r="E24" s="120"/>
      <c r="F24" s="32">
        <f>CORREL(' Panel Data'!D3:D50,' Panel Data'!E3:E50)</f>
        <v>-0.65690774194512536</v>
      </c>
      <c r="G24" s="58">
        <v>-0.65690000000000004</v>
      </c>
      <c r="H24" s="121"/>
      <c r="I24" s="121"/>
    </row>
    <row r="25" spans="2:9" ht="15.75" customHeight="1" x14ac:dyDescent="0.3">
      <c r="B25" s="122" t="s">
        <v>140</v>
      </c>
      <c r="C25" s="122"/>
      <c r="D25" s="123">
        <f>CORREL(' Panel Data'!D3:D50,' Panel Data'!F3:F50)</f>
        <v>-0.36462582564819951</v>
      </c>
      <c r="E25" s="123"/>
      <c r="F25" s="59">
        <f>CORREL(' Panel Data'!D3:D50,' Panel Data'!F3:F50)</f>
        <v>-0.36462582564819951</v>
      </c>
      <c r="G25" s="60">
        <v>-0.36459999999999998</v>
      </c>
      <c r="H25" s="124"/>
      <c r="I25" s="124"/>
    </row>
    <row r="26" spans="2:9" ht="15.75" customHeight="1" x14ac:dyDescent="0.3">
      <c r="B26" s="119" t="s">
        <v>141</v>
      </c>
      <c r="C26" s="119"/>
      <c r="D26" s="120">
        <f>CORREL(' Panel Data'!D3:D50,' Panel Data'!I3:I50)</f>
        <v>-0.75044305955056567</v>
      </c>
      <c r="E26" s="120"/>
      <c r="F26" s="32">
        <f>CORREL(' Panel Data'!D3:D50,' Panel Data'!I3:I50)</f>
        <v>-0.75044305955056567</v>
      </c>
      <c r="G26" s="58">
        <v>-0.75039999999999996</v>
      </c>
      <c r="H26" s="121"/>
      <c r="I26" s="121"/>
    </row>
    <row r="27" spans="2:9" ht="15.75" customHeight="1" x14ac:dyDescent="0.3">
      <c r="B27" s="122" t="s">
        <v>142</v>
      </c>
      <c r="C27" s="122"/>
      <c r="D27" s="123">
        <f>CORREL(' Panel Data'!D3:D50,' Panel Data'!K3:K50)</f>
        <v>0.24568953439428179</v>
      </c>
      <c r="E27" s="123"/>
      <c r="F27" s="59">
        <f>CORREL(' Panel Data'!D3:D50,' Panel Data'!K3:K50)</f>
        <v>0.24568953439428179</v>
      </c>
      <c r="G27" s="60">
        <v>-0.70799999999999996</v>
      </c>
      <c r="H27" s="124"/>
      <c r="I27" s="124"/>
    </row>
    <row r="28" spans="2:9" ht="15.75" customHeight="1" x14ac:dyDescent="0.3">
      <c r="B28" s="119" t="s">
        <v>143</v>
      </c>
      <c r="C28" s="119"/>
      <c r="D28" s="120">
        <f>CORREL(' Panel Data'!D3:D50,' Panel Data'!H3:H50)</f>
        <v>-1.9555345343859179E-2</v>
      </c>
      <c r="E28" s="120"/>
      <c r="F28" s="32">
        <f>CORREL(' Panel Data'!D3:D50,' Panel Data'!H3:H50)</f>
        <v>-1.9555345343859179E-2</v>
      </c>
      <c r="G28" s="58">
        <v>-1.9599999999999999E-2</v>
      </c>
      <c r="H28" s="121"/>
      <c r="I28" s="121"/>
    </row>
    <row r="29" spans="2:9" ht="15.75" customHeight="1" x14ac:dyDescent="0.3">
      <c r="B29" s="122" t="s">
        <v>144</v>
      </c>
      <c r="C29" s="122"/>
      <c r="D29" s="123">
        <f>CORREL(' Panel Data'!D3:D50,' Panel Data'!J3:J50)</f>
        <v>-0.29365411780900419</v>
      </c>
      <c r="E29" s="123"/>
      <c r="F29" s="59">
        <f>CORREL(' Panel Data'!D3:D50,' Panel Data'!J3:J50)</f>
        <v>-0.29365411780900419</v>
      </c>
      <c r="G29" s="60">
        <v>-0.29370000000000002</v>
      </c>
      <c r="H29" s="124"/>
      <c r="I29" s="124"/>
    </row>
    <row r="30" spans="2:9" ht="15.75" customHeight="1" x14ac:dyDescent="0.3">
      <c r="B30" s="119" t="s">
        <v>127</v>
      </c>
      <c r="C30" s="119"/>
      <c r="D30" s="120">
        <f>CORREL(' Panel Data'!F3:F50,' Panel Data'!J3:J50)</f>
        <v>0.88251158607334423</v>
      </c>
      <c r="E30" s="120"/>
      <c r="F30" s="32">
        <f>CORREL(' Panel Data'!F3:F50,' Panel Data'!J3:J50)</f>
        <v>0.88251158607334423</v>
      </c>
      <c r="G30" s="58">
        <v>0.88249999999999995</v>
      </c>
      <c r="H30" s="121"/>
      <c r="I30" s="121"/>
    </row>
    <row r="31" spans="2:9" ht="15.75" customHeight="1" x14ac:dyDescent="0.3">
      <c r="B31" s="122" t="s">
        <v>129</v>
      </c>
      <c r="C31" s="122"/>
      <c r="D31" s="123">
        <f>CORREL(' Panel Data'!I3:I50,' Panel Data'!K3:K50)</f>
        <v>-0.23306284346902492</v>
      </c>
      <c r="E31" s="123"/>
      <c r="F31" s="59">
        <f>CORREL(' Panel Data'!I3:I50,' Panel Data'!K3:K50)</f>
        <v>-0.23306284346902492</v>
      </c>
      <c r="G31" s="60">
        <v>0.83779999999999999</v>
      </c>
      <c r="H31" s="124"/>
      <c r="I31" s="124"/>
    </row>
  </sheetData>
  <mergeCells count="43">
    <mergeCell ref="B31:C31"/>
    <mergeCell ref="D31:E31"/>
    <mergeCell ref="H31:I31"/>
    <mergeCell ref="B29:C29"/>
    <mergeCell ref="D29:E29"/>
    <mergeCell ref="H29:I29"/>
    <mergeCell ref="B30:C30"/>
    <mergeCell ref="D30:E30"/>
    <mergeCell ref="H30:I30"/>
    <mergeCell ref="B27:C27"/>
    <mergeCell ref="D27:E27"/>
    <mergeCell ref="H27:I27"/>
    <mergeCell ref="B28:C28"/>
    <mergeCell ref="D28:E28"/>
    <mergeCell ref="H28:I28"/>
    <mergeCell ref="B25:C25"/>
    <mergeCell ref="D25:E25"/>
    <mergeCell ref="H25:I25"/>
    <mergeCell ref="B26:C26"/>
    <mergeCell ref="D26:E26"/>
    <mergeCell ref="H26:I26"/>
    <mergeCell ref="B23:C23"/>
    <mergeCell ref="D23:E23"/>
    <mergeCell ref="H23:I23"/>
    <mergeCell ref="B24:C24"/>
    <mergeCell ref="D24:E24"/>
    <mergeCell ref="H24:I24"/>
    <mergeCell ref="D19:E19"/>
    <mergeCell ref="F19:I19"/>
    <mergeCell ref="D20:E20"/>
    <mergeCell ref="F20:I20"/>
    <mergeCell ref="B22:I22"/>
    <mergeCell ref="D16:E16"/>
    <mergeCell ref="F16:I16"/>
    <mergeCell ref="D17:E17"/>
    <mergeCell ref="F17:I17"/>
    <mergeCell ref="D18:E18"/>
    <mergeCell ref="F18:I18"/>
    <mergeCell ref="B1:I1"/>
    <mergeCell ref="B12:I12"/>
    <mergeCell ref="B14:I14"/>
    <mergeCell ref="D15:E15"/>
    <mergeCell ref="F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34"/>
  <sheetViews>
    <sheetView showGridLines="0" zoomScaleNormal="100" workbookViewId="0">
      <selection activeCell="B20" sqref="B20:G20"/>
    </sheetView>
  </sheetViews>
  <sheetFormatPr defaultColWidth="8.6640625" defaultRowHeight="14.4" x14ac:dyDescent="0.3"/>
  <cols>
    <col min="1" max="1" width="2" customWidth="1"/>
    <col min="2" max="2" width="28" customWidth="1"/>
    <col min="3" max="3" width="16" customWidth="1"/>
    <col min="4" max="4" width="14" customWidth="1"/>
    <col min="5" max="5" width="16" customWidth="1"/>
    <col min="6" max="6" width="14" customWidth="1"/>
    <col min="7" max="7" width="46.5546875" bestFit="1" customWidth="1"/>
  </cols>
  <sheetData>
    <row r="1" spans="2:7" ht="30" customHeight="1" x14ac:dyDescent="0.3">
      <c r="B1" s="8" t="s">
        <v>145</v>
      </c>
      <c r="C1" s="8"/>
      <c r="D1" s="8"/>
      <c r="E1" s="8"/>
      <c r="F1" s="8"/>
      <c r="G1" s="8"/>
    </row>
    <row r="3" spans="2:7" ht="15.75" customHeight="1" x14ac:dyDescent="0.3">
      <c r="B3" s="44" t="s">
        <v>146</v>
      </c>
      <c r="C3" s="114" t="s">
        <v>147</v>
      </c>
      <c r="D3" s="114"/>
      <c r="E3" s="114"/>
      <c r="F3" s="114"/>
      <c r="G3" s="114"/>
    </row>
    <row r="4" spans="2:7" ht="15.75" customHeight="1" x14ac:dyDescent="0.3">
      <c r="B4" s="44" t="s">
        <v>148</v>
      </c>
      <c r="C4" s="114" t="s">
        <v>149</v>
      </c>
      <c r="D4" s="114"/>
      <c r="E4" s="114"/>
      <c r="F4" s="114"/>
      <c r="G4" s="114"/>
    </row>
    <row r="5" spans="2:7" ht="15.75" customHeight="1" x14ac:dyDescent="0.3">
      <c r="B5" s="44" t="s">
        <v>150</v>
      </c>
      <c r="C5" s="114" t="s">
        <v>151</v>
      </c>
      <c r="D5" s="114"/>
      <c r="E5" s="114"/>
      <c r="F5" s="114"/>
      <c r="G5" s="114"/>
    </row>
    <row r="6" spans="2:7" ht="15.75" customHeight="1" x14ac:dyDescent="0.3">
      <c r="B6" s="44" t="s">
        <v>152</v>
      </c>
      <c r="C6" s="114" t="s">
        <v>153</v>
      </c>
      <c r="D6" s="114"/>
      <c r="E6" s="114"/>
      <c r="F6" s="114"/>
      <c r="G6" s="114"/>
    </row>
    <row r="7" spans="2:7" ht="15.75" customHeight="1" x14ac:dyDescent="0.3">
      <c r="B7" s="44" t="s">
        <v>154</v>
      </c>
      <c r="C7" s="114" t="s">
        <v>155</v>
      </c>
      <c r="D7" s="114"/>
      <c r="E7" s="114"/>
      <c r="F7" s="114"/>
      <c r="G7" s="114"/>
    </row>
    <row r="10" spans="2:7" ht="15" customHeight="1" x14ac:dyDescent="0.3">
      <c r="B10" s="10" t="s">
        <v>52</v>
      </c>
      <c r="C10" s="10" t="s">
        <v>53</v>
      </c>
      <c r="D10" s="10" t="s">
        <v>54</v>
      </c>
      <c r="E10" s="10" t="s">
        <v>55</v>
      </c>
      <c r="F10" s="10" t="s">
        <v>156</v>
      </c>
      <c r="G10" s="10" t="s">
        <v>157</v>
      </c>
    </row>
    <row r="11" spans="2:7" ht="18" customHeight="1" x14ac:dyDescent="0.3">
      <c r="B11" s="31" t="s">
        <v>58</v>
      </c>
      <c r="C11" s="35">
        <v>7.5205380000000002</v>
      </c>
      <c r="D11" s="35">
        <v>1.4034610000000001</v>
      </c>
      <c r="E11" s="35">
        <v>5.3585669999999999</v>
      </c>
      <c r="F11" s="26">
        <v>0</v>
      </c>
      <c r="G11" s="61" t="s">
        <v>202</v>
      </c>
    </row>
    <row r="12" spans="2:7" ht="18" customHeight="1" x14ac:dyDescent="0.3">
      <c r="B12" s="33" t="s">
        <v>94</v>
      </c>
      <c r="C12" s="34">
        <v>-0.65081</v>
      </c>
      <c r="D12" s="34">
        <v>0.13860600000000001</v>
      </c>
      <c r="E12" s="34">
        <v>-4.6954089999999997</v>
      </c>
      <c r="F12" s="20">
        <v>0</v>
      </c>
      <c r="G12" s="62" t="s">
        <v>203</v>
      </c>
    </row>
    <row r="13" spans="2:7" ht="18" customHeight="1" x14ac:dyDescent="0.3">
      <c r="B13" s="31" t="s">
        <v>1</v>
      </c>
      <c r="C13" s="35">
        <v>-49.775970000000001</v>
      </c>
      <c r="D13" s="35">
        <v>12.863289999999999</v>
      </c>
      <c r="E13" s="35">
        <v>-3.869615</v>
      </c>
      <c r="F13" s="26">
        <v>4.0000000000000002E-4</v>
      </c>
      <c r="G13" s="61" t="s">
        <v>204</v>
      </c>
    </row>
    <row r="14" spans="2:7" ht="18" customHeight="1" x14ac:dyDescent="0.3">
      <c r="B14" s="33" t="s">
        <v>0</v>
      </c>
      <c r="C14" s="34">
        <v>-3.5738020000000001</v>
      </c>
      <c r="D14" s="34">
        <v>2.043847</v>
      </c>
      <c r="E14" s="34">
        <v>-1.7485660000000001</v>
      </c>
      <c r="F14" s="20">
        <v>8.8900000000000007E-2</v>
      </c>
      <c r="G14" s="63" t="s">
        <v>205</v>
      </c>
    </row>
    <row r="15" spans="2:7" ht="18" customHeight="1" x14ac:dyDescent="0.3">
      <c r="B15" s="31" t="s">
        <v>95</v>
      </c>
      <c r="C15" s="35">
        <v>-0.91313</v>
      </c>
      <c r="D15" s="35">
        <v>0.65135200000000004</v>
      </c>
      <c r="E15" s="35">
        <v>-1.4018999999999999</v>
      </c>
      <c r="F15" s="26">
        <v>0.16950000000000001</v>
      </c>
      <c r="G15" s="64" t="s">
        <v>158</v>
      </c>
    </row>
    <row r="16" spans="2:7" ht="18" customHeight="1" x14ac:dyDescent="0.3">
      <c r="B16" s="33" t="s">
        <v>12</v>
      </c>
      <c r="C16" s="34">
        <v>-8.8213E-2</v>
      </c>
      <c r="D16" s="34">
        <v>7.1915000000000007E-2</v>
      </c>
      <c r="E16" s="34">
        <v>-1.2266239999999999</v>
      </c>
      <c r="F16" s="20">
        <v>0.22789999999999999</v>
      </c>
      <c r="G16" s="65" t="s">
        <v>159</v>
      </c>
    </row>
    <row r="17" spans="2:7" ht="18" customHeight="1" x14ac:dyDescent="0.3">
      <c r="B17" s="31" t="s">
        <v>67</v>
      </c>
      <c r="C17" s="35">
        <v>-4.4461000000000001E-2</v>
      </c>
      <c r="D17" s="35">
        <v>0.150338</v>
      </c>
      <c r="E17" s="35">
        <v>-0.29574099999999998</v>
      </c>
      <c r="F17" s="26">
        <v>0.76910000000000001</v>
      </c>
      <c r="G17" s="64" t="s">
        <v>160</v>
      </c>
    </row>
    <row r="20" spans="2:7" ht="15" customHeight="1" x14ac:dyDescent="0.3">
      <c r="B20" s="110" t="s">
        <v>161</v>
      </c>
      <c r="C20" s="110"/>
      <c r="D20" s="110"/>
      <c r="E20" s="110"/>
      <c r="F20" s="110"/>
      <c r="G20" s="110"/>
    </row>
    <row r="21" spans="2:7" ht="15" customHeight="1" x14ac:dyDescent="0.3">
      <c r="B21" t="s">
        <v>69</v>
      </c>
      <c r="C21" t="s">
        <v>199</v>
      </c>
      <c r="E21" t="s">
        <v>69</v>
      </c>
      <c r="F21" t="s">
        <v>70</v>
      </c>
    </row>
    <row r="22" spans="2:7" ht="15.75" customHeight="1" x14ac:dyDescent="0.3">
      <c r="B22" s="66" t="s">
        <v>72</v>
      </c>
      <c r="C22" s="67">
        <v>0.82167199999999996</v>
      </c>
      <c r="E22" s="66" t="s">
        <v>162</v>
      </c>
      <c r="F22" s="67">
        <v>0.76718299999999995</v>
      </c>
    </row>
    <row r="23" spans="2:7" ht="15.75" customHeight="1" x14ac:dyDescent="0.3">
      <c r="B23" s="68" t="s">
        <v>163</v>
      </c>
      <c r="C23" s="69">
        <v>0.14094400000000001</v>
      </c>
      <c r="E23" s="68" t="s">
        <v>76</v>
      </c>
      <c r="F23" s="69">
        <v>15.07954</v>
      </c>
    </row>
    <row r="24" spans="2:7" ht="15.75" customHeight="1" x14ac:dyDescent="0.3">
      <c r="B24" s="66" t="s">
        <v>164</v>
      </c>
      <c r="C24" s="67">
        <v>0.71514800000000001</v>
      </c>
      <c r="E24" s="66" t="s">
        <v>165</v>
      </c>
      <c r="F24" s="67">
        <v>0</v>
      </c>
    </row>
    <row r="25" spans="2:7" ht="15.75" customHeight="1" x14ac:dyDescent="0.3">
      <c r="B25" s="68" t="s">
        <v>166</v>
      </c>
      <c r="C25" s="69">
        <v>32.846139999999998</v>
      </c>
      <c r="E25" s="68" t="s">
        <v>167</v>
      </c>
      <c r="F25" s="69">
        <v>1.2352449999999999</v>
      </c>
    </row>
    <row r="26" spans="2:7" ht="15.75" customHeight="1" x14ac:dyDescent="0.3">
      <c r="B26" s="66" t="s">
        <v>168</v>
      </c>
      <c r="C26" s="67">
        <v>-0.86858900000000006</v>
      </c>
      <c r="E26" s="66" t="s">
        <v>169</v>
      </c>
      <c r="F26" s="67">
        <v>-0.40078900000000001</v>
      </c>
    </row>
    <row r="29" spans="2:7" ht="15" customHeight="1" x14ac:dyDescent="0.3">
      <c r="B29" s="112" t="s">
        <v>170</v>
      </c>
      <c r="C29" s="112"/>
      <c r="D29" s="112"/>
      <c r="E29" s="112"/>
      <c r="F29" s="112"/>
      <c r="G29" s="112"/>
    </row>
    <row r="30" spans="2:7" ht="15" customHeight="1" x14ac:dyDescent="0.3">
      <c r="B30" s="125" t="s">
        <v>171</v>
      </c>
      <c r="C30" s="125"/>
      <c r="D30" s="125" t="s">
        <v>172</v>
      </c>
      <c r="E30" s="125"/>
      <c r="F30" s="125" t="s">
        <v>173</v>
      </c>
      <c r="G30" s="125"/>
    </row>
    <row r="31" spans="2:7" ht="18" customHeight="1" x14ac:dyDescent="0.3">
      <c r="B31" s="126" t="s">
        <v>174</v>
      </c>
      <c r="C31" s="126"/>
      <c r="D31" s="121" t="s">
        <v>175</v>
      </c>
      <c r="E31" s="121"/>
      <c r="F31" s="114" t="s">
        <v>176</v>
      </c>
      <c r="G31" s="114"/>
    </row>
    <row r="32" spans="2:7" ht="18" customHeight="1" x14ac:dyDescent="0.3">
      <c r="B32" s="127" t="s">
        <v>177</v>
      </c>
      <c r="C32" s="127"/>
      <c r="D32" s="128" t="s">
        <v>178</v>
      </c>
      <c r="E32" s="128"/>
      <c r="F32" s="116" t="s">
        <v>179</v>
      </c>
      <c r="G32" s="116"/>
    </row>
    <row r="33" spans="2:7" ht="18" customHeight="1" x14ac:dyDescent="0.3">
      <c r="B33" s="126" t="s">
        <v>180</v>
      </c>
      <c r="C33" s="126"/>
      <c r="D33" s="129" t="s">
        <v>181</v>
      </c>
      <c r="E33" s="129"/>
      <c r="F33" s="114" t="s">
        <v>182</v>
      </c>
      <c r="G33" s="114"/>
    </row>
    <row r="34" spans="2:7" ht="18" customHeight="1" x14ac:dyDescent="0.3">
      <c r="B34" s="127" t="s">
        <v>183</v>
      </c>
      <c r="C34" s="127"/>
      <c r="D34" s="130" t="s">
        <v>184</v>
      </c>
      <c r="E34" s="130"/>
      <c r="F34" s="116" t="s">
        <v>185</v>
      </c>
      <c r="G34" s="116"/>
    </row>
  </sheetData>
  <mergeCells count="23">
    <mergeCell ref="B33:C33"/>
    <mergeCell ref="D33:E33"/>
    <mergeCell ref="F33:G33"/>
    <mergeCell ref="B34:C34"/>
    <mergeCell ref="D34:E34"/>
    <mergeCell ref="F34:G34"/>
    <mergeCell ref="B31:C31"/>
    <mergeCell ref="D31:E31"/>
    <mergeCell ref="F31:G31"/>
    <mergeCell ref="B32:C32"/>
    <mergeCell ref="D32:E32"/>
    <mergeCell ref="F32:G32"/>
    <mergeCell ref="C7:G7"/>
    <mergeCell ref="B20:G20"/>
    <mergeCell ref="B29:G29"/>
    <mergeCell ref="B30:C30"/>
    <mergeCell ref="D30:E30"/>
    <mergeCell ref="F30:G30"/>
    <mergeCell ref="B1:G1"/>
    <mergeCell ref="C3:G3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63"/>
  <sheetViews>
    <sheetView showGridLines="0" topLeftCell="A72" zoomScaleNormal="100" workbookViewId="0">
      <selection activeCell="B2" sqref="B2"/>
    </sheetView>
  </sheetViews>
  <sheetFormatPr defaultColWidth="8.6640625" defaultRowHeight="14.4" x14ac:dyDescent="0.3"/>
  <cols>
    <col min="1" max="1" width="2" customWidth="1"/>
    <col min="2" max="19" width="14" customWidth="1"/>
  </cols>
  <sheetData>
    <row r="1" spans="2:20" ht="30" customHeight="1" x14ac:dyDescent="0.3">
      <c r="B1" s="8" t="s">
        <v>201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2:20" ht="21.75" customHeight="1" x14ac:dyDescent="0.3"/>
    <row r="3" spans="2:20" ht="15" customHeight="1" x14ac:dyDescent="0.3">
      <c r="B3" s="109" t="s">
        <v>186</v>
      </c>
      <c r="C3" s="109"/>
      <c r="D3" s="109"/>
      <c r="E3" s="109"/>
      <c r="F3" s="109"/>
      <c r="G3" s="109"/>
      <c r="H3" s="109"/>
      <c r="I3" s="109"/>
      <c r="J3" s="109"/>
      <c r="L3" s="105" t="s">
        <v>187</v>
      </c>
      <c r="M3" s="105"/>
      <c r="N3" s="105"/>
      <c r="O3" s="105"/>
      <c r="P3" s="105"/>
      <c r="Q3" s="105"/>
      <c r="R3" s="105"/>
    </row>
    <row r="4" spans="2:20" ht="15" customHeight="1" x14ac:dyDescent="0.3">
      <c r="B4" s="40" t="s">
        <v>3</v>
      </c>
      <c r="C4" s="40" t="s">
        <v>188</v>
      </c>
      <c r="D4" s="40" t="s">
        <v>189</v>
      </c>
      <c r="E4" s="40" t="s">
        <v>190</v>
      </c>
      <c r="F4" s="40" t="s">
        <v>191</v>
      </c>
      <c r="G4" s="40" t="s">
        <v>192</v>
      </c>
      <c r="H4" s="40" t="s">
        <v>193</v>
      </c>
      <c r="I4" s="40" t="s">
        <v>194</v>
      </c>
      <c r="J4" s="40" t="s">
        <v>195</v>
      </c>
      <c r="L4" s="70" t="s">
        <v>3</v>
      </c>
      <c r="M4" s="70" t="s">
        <v>188</v>
      </c>
      <c r="N4" s="70" t="s">
        <v>189</v>
      </c>
      <c r="O4" s="70" t="s">
        <v>190</v>
      </c>
      <c r="P4" s="70" t="s">
        <v>191</v>
      </c>
      <c r="Q4" s="70" t="s">
        <v>192</v>
      </c>
      <c r="R4" s="70" t="s">
        <v>193</v>
      </c>
      <c r="S4" s="70" t="s">
        <v>194</v>
      </c>
      <c r="T4" s="70" t="s">
        <v>195</v>
      </c>
    </row>
    <row r="5" spans="2:20" ht="15.75" customHeight="1" x14ac:dyDescent="0.3">
      <c r="B5" s="71" t="s">
        <v>13</v>
      </c>
      <c r="C5" s="72">
        <f>' Panel Data'!D3</f>
        <v>0.13589999999999999</v>
      </c>
      <c r="D5" s="72">
        <f>' Panel Data'!D4</f>
        <v>5.1299999999999998E-2</v>
      </c>
      <c r="E5" s="72">
        <f>' Panel Data'!D5</f>
        <v>2.06E-2</v>
      </c>
      <c r="F5" s="72">
        <f>' Panel Data'!D6</f>
        <v>1.1900000000000001E-2</v>
      </c>
      <c r="G5" s="72">
        <f>' Panel Data'!D7</f>
        <v>9.4000000000000004E-3</v>
      </c>
      <c r="H5" s="72">
        <f>' Panel Data'!D8</f>
        <v>7.4000000000000003E-3</v>
      </c>
      <c r="I5" s="72">
        <f>' Panel Data'!D9</f>
        <v>3.8999999999999998E-3</v>
      </c>
      <c r="J5" s="72">
        <f>' Panel Data'!D10</f>
        <v>3.0999999999999999E-3</v>
      </c>
      <c r="L5" s="71" t="s">
        <v>13</v>
      </c>
      <c r="M5" s="73">
        <f>' Panel Data'!I3</f>
        <v>8.5900000000000004E-2</v>
      </c>
      <c r="N5" s="73">
        <f>' Panel Data'!I4</f>
        <v>8.9700000000000002E-2</v>
      </c>
      <c r="O5" s="73">
        <f>' Panel Data'!I5</f>
        <v>0.1169</v>
      </c>
      <c r="P5" s="73">
        <f>' Panel Data'!I6</f>
        <v>0.1143</v>
      </c>
      <c r="Q5" s="73">
        <f>' Panel Data'!I7</f>
        <v>0.1208</v>
      </c>
      <c r="R5" s="73">
        <f>' Panel Data'!I8</f>
        <v>0.12139999999999999</v>
      </c>
      <c r="S5" s="73">
        <f>' Panel Data'!I9</f>
        <v>0.13389999999999999</v>
      </c>
      <c r="T5" s="73">
        <f>' Panel Data'!I10</f>
        <v>0.12570000000000001</v>
      </c>
    </row>
    <row r="6" spans="2:20" ht="15.75" customHeight="1" x14ac:dyDescent="0.3">
      <c r="B6" s="68" t="s">
        <v>14</v>
      </c>
      <c r="C6" s="39">
        <f>' Panel Data'!D11</f>
        <v>1.3916999999999999</v>
      </c>
      <c r="D6" s="39">
        <f>' Panel Data'!D12</f>
        <v>0.76990000000000003</v>
      </c>
      <c r="E6" s="39">
        <f>' Panel Data'!D13</f>
        <v>0.24349999999999999</v>
      </c>
      <c r="F6" s="39">
        <f>' Panel Data'!D14</f>
        <v>0.18770000000000001</v>
      </c>
      <c r="G6" s="39">
        <f>' Panel Data'!D15</f>
        <v>0.16619999999999999</v>
      </c>
      <c r="H6" s="39">
        <f>' Panel Data'!D16</f>
        <v>6.2600000000000003E-2</v>
      </c>
      <c r="I6" s="39">
        <f>' Panel Data'!D17</f>
        <v>5.2699999999999997E-2</v>
      </c>
      <c r="J6" s="39">
        <f>' Panel Data'!D18</f>
        <v>3.7499999999999999E-2</v>
      </c>
      <c r="L6" s="68" t="s">
        <v>14</v>
      </c>
      <c r="M6" s="43">
        <f>' Panel Data'!I11</f>
        <v>6.5299999999999997E-2</v>
      </c>
      <c r="N6" s="43">
        <f>' Panel Data'!I12</f>
        <v>6.5500000000000003E-2</v>
      </c>
      <c r="O6" s="43">
        <f>' Panel Data'!I13</f>
        <v>7.8299999999999995E-2</v>
      </c>
      <c r="P6" s="43">
        <f>' Panel Data'!I14</f>
        <v>8.9800000000000005E-2</v>
      </c>
      <c r="Q6" s="43">
        <f>' Panel Data'!I15</f>
        <v>0.1066</v>
      </c>
      <c r="R6" s="43">
        <f>' Panel Data'!I16</f>
        <v>0.1265</v>
      </c>
      <c r="S6" s="43">
        <f>' Panel Data'!I17</f>
        <v>0.12479999999999999</v>
      </c>
      <c r="T6" s="43">
        <f>' Panel Data'!I18</f>
        <v>9.6199999999999994E-2</v>
      </c>
    </row>
    <row r="7" spans="2:20" ht="15.75" customHeight="1" x14ac:dyDescent="0.3">
      <c r="B7" s="66" t="s">
        <v>15</v>
      </c>
      <c r="C7" s="38">
        <f>' Panel Data'!D19</f>
        <v>2.9999999999999997E-4</v>
      </c>
      <c r="D7" s="38">
        <f>' Panel Data'!D20</f>
        <v>2.0000000000000001E-4</v>
      </c>
      <c r="E7" s="38">
        <f>' Panel Data'!D21</f>
        <v>2.0000000000000001E-4</v>
      </c>
      <c r="F7" s="38">
        <f>' Panel Data'!D22</f>
        <v>1E-4</v>
      </c>
      <c r="G7" s="38">
        <f>' Panel Data'!D23</f>
        <v>1E-4</v>
      </c>
      <c r="H7" s="38">
        <f>' Panel Data'!D24</f>
        <v>1E-4</v>
      </c>
      <c r="I7" s="38">
        <f>' Panel Data'!D25</f>
        <v>2.9999999999999997E-4</v>
      </c>
      <c r="J7" s="38">
        <f>' Panel Data'!D26</f>
        <v>2.9999999999999997E-4</v>
      </c>
      <c r="L7" s="66" t="s">
        <v>15</v>
      </c>
      <c r="M7" s="41">
        <f>' Panel Data'!I19</f>
        <v>0.13300000000000001</v>
      </c>
      <c r="N7" s="41">
        <f>' Panel Data'!I20</f>
        <v>0.1467</v>
      </c>
      <c r="O7" s="41">
        <f>' Panel Data'!I21</f>
        <v>0.13</v>
      </c>
      <c r="P7" s="41">
        <f>' Panel Data'!I22</f>
        <v>0.14180000000000001</v>
      </c>
      <c r="Q7" s="41">
        <f>' Panel Data'!I23</f>
        <v>0.1663</v>
      </c>
      <c r="R7" s="41">
        <f>' Panel Data'!I24</f>
        <v>0.125</v>
      </c>
      <c r="S7" s="41">
        <f>' Panel Data'!I25</f>
        <v>0.14149999999999999</v>
      </c>
      <c r="T7" s="41">
        <f>' Panel Data'!I26</f>
        <v>0.1396</v>
      </c>
    </row>
    <row r="8" spans="2:20" ht="15.75" customHeight="1" x14ac:dyDescent="0.3">
      <c r="B8" s="68" t="s">
        <v>16</v>
      </c>
      <c r="C8" s="39">
        <f>' Panel Data'!D27</f>
        <v>0.79449999999999998</v>
      </c>
      <c r="D8" s="39">
        <f>' Panel Data'!D28</f>
        <v>0.34510000000000002</v>
      </c>
      <c r="E8" s="39">
        <f>' Panel Data'!D29</f>
        <v>0.4425</v>
      </c>
      <c r="F8" s="39">
        <f>' Panel Data'!D30</f>
        <v>0.48420000000000002</v>
      </c>
      <c r="G8" s="39">
        <f>' Panel Data'!D31</f>
        <v>0.4264</v>
      </c>
      <c r="H8" s="39">
        <f>' Panel Data'!D32</f>
        <v>0.40849999999999997</v>
      </c>
      <c r="I8" s="39">
        <f>' Panel Data'!D33</f>
        <v>0.19689999999999999</v>
      </c>
      <c r="J8" s="39">
        <f>' Panel Data'!D34</f>
        <v>0.13469999999999999</v>
      </c>
      <c r="L8" s="68" t="s">
        <v>16</v>
      </c>
      <c r="M8" s="43">
        <f>' Panel Data'!I27</f>
        <v>6.6000000000000003E-2</v>
      </c>
      <c r="N8" s="43">
        <f>' Panel Data'!I28</f>
        <v>9.2499999999999999E-2</v>
      </c>
      <c r="O8" s="43">
        <f>' Panel Data'!I29</f>
        <v>7.9000000000000001E-2</v>
      </c>
      <c r="P8" s="43">
        <f>' Panel Data'!I30</f>
        <v>7.8700000000000006E-2</v>
      </c>
      <c r="Q8" s="43">
        <f>' Panel Data'!I31</f>
        <v>0.1043</v>
      </c>
      <c r="R8" s="43">
        <f>' Panel Data'!I32</f>
        <v>7.2099999999999997E-2</v>
      </c>
      <c r="S8" s="43">
        <f>' Panel Data'!I33</f>
        <v>0.10390000000000001</v>
      </c>
      <c r="T8" s="43">
        <f>' Panel Data'!I34</f>
        <v>8.8700000000000001E-2</v>
      </c>
    </row>
    <row r="9" spans="2:20" ht="15.75" customHeight="1" x14ac:dyDescent="0.3">
      <c r="B9" s="66" t="s">
        <v>17</v>
      </c>
      <c r="C9" s="38">
        <f>' Panel Data'!D35</f>
        <v>0</v>
      </c>
      <c r="D9" s="38">
        <f>' Panel Data'!D36</f>
        <v>1.44E-2</v>
      </c>
      <c r="E9" s="38">
        <f>' Panel Data'!D37</f>
        <v>0</v>
      </c>
      <c r="F9" s="38">
        <f>' Panel Data'!D38</f>
        <v>0.1231</v>
      </c>
      <c r="G9" s="38">
        <f>' Panel Data'!D39</f>
        <v>8.4699999999999998E-2</v>
      </c>
      <c r="H9" s="38">
        <f>' Panel Data'!D40</f>
        <v>0</v>
      </c>
      <c r="I9" s="38">
        <f>' Panel Data'!D41</f>
        <v>0</v>
      </c>
      <c r="J9" s="38">
        <f>' Panel Data'!D42</f>
        <v>0</v>
      </c>
      <c r="L9" s="66" t="s">
        <v>17</v>
      </c>
      <c r="M9" s="41">
        <f>' Panel Data'!I35</f>
        <v>0.15620000000000001</v>
      </c>
      <c r="N9" s="41">
        <f>' Panel Data'!I36</f>
        <v>0.16619999999999999</v>
      </c>
      <c r="O9" s="41">
        <f>' Panel Data'!I37</f>
        <v>0.1221</v>
      </c>
      <c r="P9" s="41">
        <f>' Panel Data'!I38</f>
        <v>0.1245</v>
      </c>
      <c r="Q9" s="41">
        <f>' Panel Data'!I39</f>
        <v>0.1462</v>
      </c>
      <c r="R9" s="41">
        <f>' Panel Data'!I40</f>
        <v>0.1565</v>
      </c>
      <c r="S9" s="41">
        <f>' Panel Data'!I41</f>
        <v>0.161</v>
      </c>
      <c r="T9" s="41">
        <f>' Panel Data'!I42</f>
        <v>0.1588</v>
      </c>
    </row>
    <row r="10" spans="2:20" ht="15.75" customHeight="1" x14ac:dyDescent="0.3">
      <c r="B10" s="68" t="s">
        <v>18</v>
      </c>
      <c r="C10" s="39">
        <f>' Panel Data'!D43</f>
        <v>0.47189999999999999</v>
      </c>
      <c r="D10" s="39">
        <f>' Panel Data'!D44</f>
        <v>0.54149999999999998</v>
      </c>
      <c r="E10" s="39">
        <f>' Panel Data'!D45</f>
        <v>0.62729999999999997</v>
      </c>
      <c r="F10" s="39">
        <f>' Panel Data'!D46</f>
        <v>0.53610000000000002</v>
      </c>
      <c r="G10" s="39">
        <f>' Panel Data'!D47</f>
        <v>0.53590000000000004</v>
      </c>
      <c r="H10" s="39">
        <f>' Panel Data'!D48</f>
        <v>0.43890000000000001</v>
      </c>
      <c r="I10" s="39">
        <f>' Panel Data'!D49</f>
        <v>0.43440000000000001</v>
      </c>
      <c r="J10" s="39">
        <f>' Panel Data'!D50</f>
        <v>0.47910000000000003</v>
      </c>
      <c r="L10" s="68" t="s">
        <v>18</v>
      </c>
      <c r="M10" s="43">
        <f>' Panel Data'!I43</f>
        <v>5.4399999999999997E-2</v>
      </c>
      <c r="N10" s="43">
        <f>' Panel Data'!I44</f>
        <v>7.3499999999999996E-2</v>
      </c>
      <c r="O10" s="43">
        <f>' Panel Data'!I45</f>
        <v>4.1200000000000001E-2</v>
      </c>
      <c r="P10" s="43">
        <f>' Panel Data'!I46</f>
        <v>2.8500000000000001E-2</v>
      </c>
      <c r="Q10" s="43">
        <f>' Panel Data'!I47</f>
        <v>2.7199999999999998E-2</v>
      </c>
      <c r="R10" s="43">
        <f>' Panel Data'!I48</f>
        <v>4.2000000000000003E-2</v>
      </c>
      <c r="S10" s="43">
        <f>' Panel Data'!I49</f>
        <v>3.2500000000000001E-2</v>
      </c>
      <c r="T10" s="43">
        <f>' Panel Data'!I50</f>
        <v>2.5999999999999999E-2</v>
      </c>
    </row>
    <row r="32" spans="2:18" ht="15" customHeight="1" x14ac:dyDescent="0.3">
      <c r="B32" s="131" t="s">
        <v>196</v>
      </c>
      <c r="C32" s="131"/>
      <c r="D32" s="131"/>
      <c r="E32" s="131"/>
      <c r="F32" s="131"/>
      <c r="G32" s="131"/>
      <c r="H32" s="131"/>
      <c r="I32" s="131"/>
      <c r="J32" s="131"/>
      <c r="L32" s="132" t="s">
        <v>197</v>
      </c>
      <c r="M32" s="132"/>
      <c r="N32" s="132"/>
      <c r="O32" s="132"/>
      <c r="P32" s="132"/>
      <c r="Q32" s="132"/>
      <c r="R32" s="132"/>
    </row>
    <row r="33" spans="2:20" ht="15" customHeight="1" x14ac:dyDescent="0.3">
      <c r="B33" s="74" t="s">
        <v>3</v>
      </c>
      <c r="C33" s="74" t="s">
        <v>188</v>
      </c>
      <c r="D33" s="74" t="s">
        <v>189</v>
      </c>
      <c r="E33" s="74" t="s">
        <v>190</v>
      </c>
      <c r="F33" s="74" t="s">
        <v>191</v>
      </c>
      <c r="G33" s="74" t="s">
        <v>192</v>
      </c>
      <c r="H33" s="74" t="s">
        <v>193</v>
      </c>
      <c r="I33" s="74" t="s">
        <v>194</v>
      </c>
      <c r="J33" s="74" t="s">
        <v>195</v>
      </c>
      <c r="L33" s="75" t="s">
        <v>4</v>
      </c>
      <c r="M33" s="75" t="s">
        <v>188</v>
      </c>
      <c r="N33" s="75" t="s">
        <v>189</v>
      </c>
      <c r="O33" s="75" t="s">
        <v>190</v>
      </c>
      <c r="P33" s="75" t="s">
        <v>191</v>
      </c>
      <c r="Q33" s="75" t="s">
        <v>192</v>
      </c>
      <c r="R33" s="75" t="s">
        <v>193</v>
      </c>
      <c r="S33" s="75" t="s">
        <v>194</v>
      </c>
      <c r="T33" s="75" t="s">
        <v>195</v>
      </c>
    </row>
    <row r="34" spans="2:20" ht="15.75" customHeight="1" x14ac:dyDescent="0.3">
      <c r="B34" s="71" t="s">
        <v>13</v>
      </c>
      <c r="C34" s="76">
        <f>' Panel Data'!G3</f>
        <v>8.14</v>
      </c>
      <c r="D34" s="76">
        <f>' Panel Data'!G4</f>
        <v>8.58</v>
      </c>
      <c r="E34" s="76">
        <f>' Panel Data'!G5</f>
        <v>23.13</v>
      </c>
      <c r="F34" s="76">
        <f>' Panel Data'!G6</f>
        <v>26.38</v>
      </c>
      <c r="G34" s="76">
        <f>' Panel Data'!G7</f>
        <v>38.79</v>
      </c>
      <c r="H34" s="76">
        <f>' Panel Data'!G8</f>
        <v>32.06</v>
      </c>
      <c r="I34" s="76">
        <f>' Panel Data'!G9</f>
        <v>25.12</v>
      </c>
      <c r="J34" s="76">
        <f>' Panel Data'!G10</f>
        <v>18.649999999999999</v>
      </c>
      <c r="L34" s="77" t="s">
        <v>67</v>
      </c>
      <c r="M34" s="78">
        <f>' Panel Data'!H3</f>
        <v>0.14019999999999999</v>
      </c>
      <c r="N34" s="78">
        <f>' Panel Data'!H4</f>
        <v>0.1227</v>
      </c>
      <c r="O34" s="78">
        <f>' Panel Data'!H5</f>
        <v>9.2799999999999994E-2</v>
      </c>
      <c r="P34" s="78">
        <f>' Panel Data'!H6</f>
        <v>-9.2999999999999992E-3</v>
      </c>
      <c r="Q34" s="78">
        <f>' Panel Data'!H7</f>
        <v>0.3871</v>
      </c>
      <c r="R34" s="78">
        <f>' Panel Data'!H8</f>
        <v>0.15110000000000001</v>
      </c>
      <c r="S34" s="78">
        <f>' Panel Data'!H9</f>
        <v>0.30919999999999997</v>
      </c>
      <c r="T34" s="78">
        <f>' Panel Data'!H10</f>
        <v>0.20519999999999999</v>
      </c>
    </row>
    <row r="35" spans="2:20" ht="15.75" customHeight="1" x14ac:dyDescent="0.3">
      <c r="B35" s="68" t="s">
        <v>14</v>
      </c>
      <c r="C35" s="42">
        <f>' Panel Data'!G11</f>
        <v>2.82</v>
      </c>
      <c r="D35" s="42">
        <f>' Panel Data'!G12</f>
        <v>3.04</v>
      </c>
      <c r="E35" s="42">
        <f>' Panel Data'!G13</f>
        <v>3.54</v>
      </c>
      <c r="F35" s="42">
        <f>' Panel Data'!G14</f>
        <v>7.33</v>
      </c>
      <c r="G35" s="42">
        <f>' Panel Data'!G15</f>
        <v>13.7</v>
      </c>
      <c r="H35" s="42">
        <f>' Panel Data'!G16</f>
        <v>19.34</v>
      </c>
      <c r="I35" s="42">
        <f>' Panel Data'!G17</f>
        <v>18.75</v>
      </c>
      <c r="J35" s="42">
        <f>' Panel Data'!G18</f>
        <v>17.73</v>
      </c>
      <c r="L35" s="79" t="s">
        <v>93</v>
      </c>
      <c r="M35" s="80">
        <f>' Panel Data'!D3</f>
        <v>0.13589999999999999</v>
      </c>
      <c r="N35" s="80">
        <f>' Panel Data'!D4</f>
        <v>5.1299999999999998E-2</v>
      </c>
      <c r="O35" s="80">
        <f>' Panel Data'!D5</f>
        <v>2.06E-2</v>
      </c>
      <c r="P35" s="80">
        <f>' Panel Data'!D6</f>
        <v>1.1900000000000001E-2</v>
      </c>
      <c r="Q35" s="80">
        <f>' Panel Data'!D7</f>
        <v>9.4000000000000004E-3</v>
      </c>
      <c r="R35" s="80">
        <f>' Panel Data'!D8</f>
        <v>7.4000000000000003E-3</v>
      </c>
      <c r="S35" s="80">
        <f>' Panel Data'!D9</f>
        <v>3.8999999999999998E-3</v>
      </c>
      <c r="T35" s="80">
        <f>' Panel Data'!D10</f>
        <v>3.0999999999999999E-3</v>
      </c>
    </row>
    <row r="36" spans="2:20" ht="15.75" customHeight="1" x14ac:dyDescent="0.3">
      <c r="B36" s="66" t="s">
        <v>15</v>
      </c>
      <c r="C36" s="50">
        <f>' Panel Data'!G19</f>
        <v>550</v>
      </c>
      <c r="D36" s="50">
        <f>' Panel Data'!G20</f>
        <v>611</v>
      </c>
      <c r="E36" s="50">
        <f>' Panel Data'!G21</f>
        <v>257</v>
      </c>
      <c r="F36" s="50">
        <f>' Panel Data'!G22</f>
        <v>632</v>
      </c>
      <c r="G36" s="50">
        <f>' Panel Data'!G23</f>
        <v>394.5</v>
      </c>
      <c r="H36" s="50">
        <f>' Panel Data'!G24</f>
        <v>650</v>
      </c>
      <c r="I36" s="50">
        <f>' Panel Data'!G25</f>
        <v>433</v>
      </c>
      <c r="J36" s="50">
        <f>' Panel Data'!G26</f>
        <v>462</v>
      </c>
    </row>
    <row r="37" spans="2:20" ht="15.75" customHeight="1" x14ac:dyDescent="0.3">
      <c r="B37" s="68" t="s">
        <v>16</v>
      </c>
      <c r="C37" s="42">
        <f>' Panel Data'!G27</f>
        <v>2.92</v>
      </c>
      <c r="D37" s="42">
        <f>' Panel Data'!G28</f>
        <v>6.28</v>
      </c>
      <c r="E37" s="42">
        <f>' Panel Data'!G29</f>
        <v>5.27</v>
      </c>
      <c r="F37" s="42">
        <f>' Panel Data'!G30</f>
        <v>7.24</v>
      </c>
      <c r="G37" s="42">
        <f>' Panel Data'!G31</f>
        <v>12.83</v>
      </c>
      <c r="H37" s="42">
        <f>' Panel Data'!G32</f>
        <v>6.95</v>
      </c>
      <c r="I37" s="42">
        <f>' Panel Data'!G33</f>
        <v>8.52</v>
      </c>
      <c r="J37" s="42">
        <f>' Panel Data'!G34</f>
        <v>7.82</v>
      </c>
    </row>
    <row r="38" spans="2:20" ht="15.75" customHeight="1" x14ac:dyDescent="0.3">
      <c r="B38" s="66" t="s">
        <v>17</v>
      </c>
      <c r="C38" s="50">
        <f>' Panel Data'!G35</f>
        <v>44.36</v>
      </c>
      <c r="D38" s="50">
        <f>' Panel Data'!G36</f>
        <v>72.72</v>
      </c>
      <c r="E38" s="50">
        <f>' Panel Data'!G37</f>
        <v>47.73</v>
      </c>
      <c r="F38" s="50">
        <f>' Panel Data'!G38</f>
        <v>21.73</v>
      </c>
      <c r="G38" s="50">
        <f>' Panel Data'!G39</f>
        <v>32.26</v>
      </c>
      <c r="H38" s="50">
        <f>' Panel Data'!G40</f>
        <v>80.069999999999993</v>
      </c>
      <c r="I38" s="50">
        <f>' Panel Data'!G41</f>
        <v>65.95</v>
      </c>
      <c r="J38" s="50">
        <f>' Panel Data'!G42</f>
        <v>68.89</v>
      </c>
    </row>
    <row r="39" spans="2:20" ht="15.75" customHeight="1" x14ac:dyDescent="0.3">
      <c r="B39" s="68" t="s">
        <v>18</v>
      </c>
      <c r="C39" s="42">
        <f>' Panel Data'!G43</f>
        <v>2.58</v>
      </c>
      <c r="D39" s="42">
        <f>' Panel Data'!G44</f>
        <v>3.74</v>
      </c>
      <c r="E39" s="42">
        <f>' Panel Data'!G45</f>
        <v>2.91</v>
      </c>
      <c r="F39" s="42">
        <f>' Panel Data'!G46</f>
        <v>2.4300000000000002</v>
      </c>
      <c r="G39" s="42">
        <f>' Panel Data'!G47</f>
        <v>2.27</v>
      </c>
      <c r="H39" s="42">
        <f>' Panel Data'!G48</f>
        <v>2.57</v>
      </c>
      <c r="I39" s="42">
        <f>' Panel Data'!G49</f>
        <v>2.58</v>
      </c>
      <c r="J39" s="42">
        <f>' Panel Data'!G50</f>
        <v>2.12</v>
      </c>
    </row>
    <row r="60" spans="2:10" ht="15" customHeight="1" x14ac:dyDescent="0.3">
      <c r="B60" s="92" t="s">
        <v>198</v>
      </c>
      <c r="C60" s="92"/>
      <c r="D60" s="92"/>
      <c r="E60" s="92"/>
      <c r="F60" s="92"/>
      <c r="G60" s="92"/>
      <c r="H60" s="92"/>
      <c r="I60" s="92"/>
      <c r="J60" s="92"/>
    </row>
    <row r="61" spans="2:10" ht="15" customHeight="1" x14ac:dyDescent="0.3">
      <c r="B61" s="10" t="s">
        <v>69</v>
      </c>
      <c r="C61" s="10" t="s">
        <v>188</v>
      </c>
      <c r="D61" s="10" t="s">
        <v>189</v>
      </c>
      <c r="E61" s="10" t="s">
        <v>190</v>
      </c>
      <c r="F61" s="10" t="s">
        <v>191</v>
      </c>
      <c r="G61" s="10" t="s">
        <v>192</v>
      </c>
      <c r="H61" s="10" t="s">
        <v>193</v>
      </c>
      <c r="I61" s="10" t="s">
        <v>194</v>
      </c>
      <c r="J61" s="10" t="s">
        <v>195</v>
      </c>
    </row>
    <row r="62" spans="2:10" ht="15.75" customHeight="1" x14ac:dyDescent="0.3">
      <c r="B62" s="31" t="s">
        <v>110</v>
      </c>
      <c r="C62" s="49">
        <f>' Polycab Cap Structure'!C29</f>
        <v>421</v>
      </c>
      <c r="D62" s="49">
        <f>' Polycab Cap Structure'!D29</f>
        <v>502</v>
      </c>
      <c r="E62" s="49">
        <f>' Polycab Cap Structure'!E29</f>
        <v>633</v>
      </c>
      <c r="F62" s="49">
        <f>' Polycab Cap Structure'!F29</f>
        <v>721</v>
      </c>
      <c r="G62" s="49">
        <f>' Polycab Cap Structure'!G29</f>
        <v>1089</v>
      </c>
      <c r="H62" s="49">
        <f>' Polycab Cap Structure'!H29</f>
        <v>1256</v>
      </c>
      <c r="I62" s="49">
        <f>' Polycab Cap Structure'!I29</f>
        <v>1598</v>
      </c>
      <c r="J62" s="49">
        <f>' Polycab Cap Structure'!J29</f>
        <v>1852</v>
      </c>
    </row>
    <row r="63" spans="2:10" ht="15.75" customHeight="1" x14ac:dyDescent="0.3">
      <c r="B63" s="33" t="s">
        <v>116</v>
      </c>
      <c r="C63" s="42">
        <f>' Polycab Cap Structure'!C35</f>
        <v>18.494487608841261</v>
      </c>
      <c r="D63" s="42">
        <f>' Polycab Cap Structure'!D35</f>
        <v>22.203409243134626</v>
      </c>
      <c r="E63" s="42">
        <f>' Polycab Cap Structure'!E35</f>
        <v>30.37306095110516</v>
      </c>
      <c r="F63" s="42">
        <f>' Polycab Cap Structure'!F35</f>
        <v>34.783670462156735</v>
      </c>
      <c r="G63" s="42">
        <f>' Polycab Cap Structure'!G35</f>
        <v>53.177916945746823</v>
      </c>
      <c r="H63" s="42">
        <f>' Polycab Cap Structure'!H35</f>
        <v>60.996724715338246</v>
      </c>
      <c r="I63" s="42">
        <f>' Polycab Cap Structure'!I35</f>
        <v>76.884943067649033</v>
      </c>
      <c r="J63" s="42">
        <f>' Polycab Cap Structure'!J35</f>
        <v>87.861346282652377</v>
      </c>
    </row>
  </sheetData>
  <mergeCells count="6">
    <mergeCell ref="B60:J60"/>
    <mergeCell ref="B1:R1"/>
    <mergeCell ref="B3:J3"/>
    <mergeCell ref="L3:R3"/>
    <mergeCell ref="B32:J32"/>
    <mergeCell ref="L32:R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Panel Data</vt:lpstr>
      <vt:lpstr> Descriptive Stats</vt:lpstr>
      <vt:lpstr>key kpi</vt:lpstr>
      <vt:lpstr> Polycab Cap Structure</vt:lpstr>
      <vt:lpstr>Correlation</vt:lpstr>
      <vt:lpstr>Regression Results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Anjali Gupta</cp:lastModifiedBy>
  <cp:revision>3</cp:revision>
  <dcterms:created xsi:type="dcterms:W3CDTF">2026-04-05T08:44:47Z</dcterms:created>
  <dcterms:modified xsi:type="dcterms:W3CDTF">2026-04-05T15:38:05Z</dcterms:modified>
  <dc:language>en-US</dc:language>
</cp:coreProperties>
</file>