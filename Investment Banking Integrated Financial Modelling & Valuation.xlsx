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jal\Downloads\"/>
    </mc:Choice>
  </mc:AlternateContent>
  <xr:revisionPtr revIDLastSave="0" documentId="13_ncr:1_{2940D25A-9FDD-4B37-BCE7-86E1144C6697}" xr6:coauthVersionLast="47" xr6:coauthVersionMax="47" xr10:uidLastSave="{00000000-0000-0000-0000-000000000000}"/>
  <bookViews>
    <workbookView xWindow="-120" yWindow="-120" windowWidth="29040" windowHeight="15720" tabRatio="500" xr2:uid="{00000000-000D-0000-FFFF-FFFF00000000}"/>
  </bookViews>
  <sheets>
    <sheet name="INC" sheetId="1" r:id="rId1"/>
    <sheet name="BS" sheetId="2" r:id="rId2"/>
    <sheet name="CFS" sheetId="3" r:id="rId3"/>
    <sheet name="RATIOS" sheetId="4" r:id="rId4"/>
    <sheet name="FCFF Valuation" sheetId="5" r:id="rId5"/>
    <sheet name="Instructio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2" i="2" l="1"/>
  <c r="E15" i="2"/>
  <c r="E10" i="2"/>
  <c r="G10" i="3"/>
  <c r="B37" i="5" l="1"/>
  <c r="J25" i="5"/>
  <c r="I25" i="5"/>
  <c r="H25" i="5"/>
  <c r="G25" i="5"/>
  <c r="F25" i="5"/>
  <c r="B14" i="5"/>
  <c r="B13" i="5"/>
  <c r="B15" i="5" s="1"/>
  <c r="B12" i="5"/>
  <c r="E41" i="3"/>
  <c r="I31" i="3"/>
  <c r="H31" i="3"/>
  <c r="G31" i="3"/>
  <c r="F31" i="3"/>
  <c r="E31" i="3"/>
  <c r="I30" i="3"/>
  <c r="H30" i="3"/>
  <c r="G30" i="3"/>
  <c r="F30" i="3"/>
  <c r="E30" i="3"/>
  <c r="I10" i="3"/>
  <c r="H10" i="3"/>
  <c r="F10" i="3"/>
  <c r="E10" i="3"/>
  <c r="F48" i="1"/>
  <c r="J45" i="1"/>
  <c r="I45" i="1"/>
  <c r="H45" i="1"/>
  <c r="G45" i="1"/>
  <c r="F45" i="1"/>
  <c r="F43" i="1"/>
  <c r="F42" i="1"/>
  <c r="F24" i="5" s="1"/>
  <c r="J39" i="1"/>
  <c r="I39" i="1"/>
  <c r="H39" i="1"/>
  <c r="G39" i="1"/>
  <c r="F39" i="1"/>
  <c r="E39" i="1"/>
  <c r="E32" i="1"/>
  <c r="F30" i="1"/>
  <c r="F18" i="1"/>
  <c r="F24" i="2"/>
  <c r="G24" i="2" s="1"/>
  <c r="H24" i="2" s="1"/>
  <c r="I24" i="2" s="1"/>
  <c r="J24" i="2" s="1"/>
  <c r="H23" i="2"/>
  <c r="I23" i="2" s="1"/>
  <c r="J23" i="2" s="1"/>
  <c r="F23" i="2"/>
  <c r="G23" i="2" s="1"/>
  <c r="J14" i="2"/>
  <c r="G14" i="2"/>
  <c r="H14" i="2" s="1"/>
  <c r="F14" i="2"/>
  <c r="E21" i="3" s="1"/>
  <c r="E26" i="3" s="1"/>
  <c r="F13" i="2"/>
  <c r="G13" i="2" s="1"/>
  <c r="H13" i="2" s="1"/>
  <c r="I13" i="2" s="1"/>
  <c r="J13" i="2" s="1"/>
  <c r="F12" i="2" l="1"/>
  <c r="G42" i="1" s="1"/>
  <c r="G24" i="5" s="1"/>
  <c r="I14" i="2"/>
  <c r="I21" i="3" s="1"/>
  <c r="I26" i="3" s="1"/>
  <c r="F8" i="3"/>
  <c r="F37" i="1"/>
  <c r="F36" i="1" s="1"/>
  <c r="F32" i="1"/>
  <c r="F31" i="1" s="1"/>
  <c r="F29" i="1"/>
  <c r="B6" i="4"/>
  <c r="G30" i="1"/>
  <c r="G21" i="3"/>
  <c r="G26" i="3" s="1"/>
  <c r="F21" i="3"/>
  <c r="F26" i="3" s="1"/>
  <c r="F16" i="1"/>
  <c r="E8" i="3"/>
  <c r="G16" i="1" l="1"/>
  <c r="G12" i="2"/>
  <c r="H42" i="1" s="1"/>
  <c r="H24" i="5" s="1"/>
  <c r="H12" i="2"/>
  <c r="I42" i="1" s="1"/>
  <c r="F8" i="1"/>
  <c r="H21" i="3"/>
  <c r="H26" i="3" s="1"/>
  <c r="C6" i="4"/>
  <c r="H30" i="1"/>
  <c r="G37" i="1"/>
  <c r="G36" i="1" s="1"/>
  <c r="G32" i="1"/>
  <c r="G31" i="1" s="1"/>
  <c r="F6" i="1"/>
  <c r="F44" i="1"/>
  <c r="G29" i="1"/>
  <c r="F9" i="2"/>
  <c r="F7" i="2"/>
  <c r="F33" i="1"/>
  <c r="F19" i="2"/>
  <c r="E15" i="3" s="1"/>
  <c r="F8" i="2"/>
  <c r="F18" i="2"/>
  <c r="F38" i="1"/>
  <c r="F35" i="1" s="1"/>
  <c r="F10" i="1" s="1"/>
  <c r="H16" i="1"/>
  <c r="G8" i="3"/>
  <c r="I12" i="2" l="1"/>
  <c r="J42" i="1" s="1"/>
  <c r="J12" i="2" s="1"/>
  <c r="H31" i="1"/>
  <c r="G8" i="1"/>
  <c r="H36" i="1"/>
  <c r="F40" i="1"/>
  <c r="B7" i="4"/>
  <c r="E9" i="3"/>
  <c r="F14" i="1"/>
  <c r="F25" i="2"/>
  <c r="D6" i="4"/>
  <c r="I30" i="1"/>
  <c r="H37" i="1"/>
  <c r="H32" i="1"/>
  <c r="E14" i="3"/>
  <c r="F20" i="2"/>
  <c r="F11" i="3"/>
  <c r="F26" i="5"/>
  <c r="E11" i="3"/>
  <c r="B14" i="4"/>
  <c r="E12" i="3"/>
  <c r="E13" i="3"/>
  <c r="G44" i="1"/>
  <c r="G33" i="1"/>
  <c r="G6" i="1"/>
  <c r="G19" i="2"/>
  <c r="F15" i="3" s="1"/>
  <c r="G8" i="2"/>
  <c r="G18" i="2"/>
  <c r="G7" i="2"/>
  <c r="G38" i="1"/>
  <c r="G35" i="1" s="1"/>
  <c r="G10" i="1" s="1"/>
  <c r="H29" i="1"/>
  <c r="G9" i="2"/>
  <c r="F13" i="3" s="1"/>
  <c r="I24" i="5"/>
  <c r="H8" i="3"/>
  <c r="I16" i="1"/>
  <c r="G26" i="5" l="1"/>
  <c r="C14" i="4"/>
  <c r="G25" i="2"/>
  <c r="F46" i="1"/>
  <c r="B11" i="4"/>
  <c r="G13" i="3"/>
  <c r="F14" i="3"/>
  <c r="G20" i="2"/>
  <c r="C7" i="4"/>
  <c r="G40" i="1"/>
  <c r="H44" i="1"/>
  <c r="H38" i="1"/>
  <c r="H35" i="1" s="1"/>
  <c r="H10" i="1" s="1"/>
  <c r="H33" i="1"/>
  <c r="I29" i="1"/>
  <c r="H18" i="2"/>
  <c r="H7" i="2"/>
  <c r="H9" i="2"/>
  <c r="H19" i="2"/>
  <c r="G15" i="3" s="1"/>
  <c r="H8" i="2"/>
  <c r="G12" i="3" s="1"/>
  <c r="H6" i="1"/>
  <c r="G14" i="1"/>
  <c r="F9" i="3"/>
  <c r="F12" i="3"/>
  <c r="E6" i="4"/>
  <c r="I37" i="1"/>
  <c r="I36" i="1" s="1"/>
  <c r="I32" i="1"/>
  <c r="I31" i="1" s="1"/>
  <c r="J30" i="1"/>
  <c r="J24" i="5"/>
  <c r="I8" i="3"/>
  <c r="J16" i="1"/>
  <c r="H8" i="1"/>
  <c r="I8" i="1" l="1"/>
  <c r="J31" i="1"/>
  <c r="J8" i="1" s="1"/>
  <c r="H26" i="5"/>
  <c r="D14" i="4"/>
  <c r="B8" i="4"/>
  <c r="F49" i="1"/>
  <c r="F21" i="5"/>
  <c r="B10" i="4"/>
  <c r="G11" i="3"/>
  <c r="G14" i="3"/>
  <c r="H20" i="2"/>
  <c r="G9" i="3"/>
  <c r="H14" i="1"/>
  <c r="H25" i="2"/>
  <c r="I25" i="2" s="1"/>
  <c r="I38" i="1"/>
  <c r="I35" i="1" s="1"/>
  <c r="I10" i="1" s="1"/>
  <c r="I33" i="1"/>
  <c r="J29" i="1"/>
  <c r="I6" i="1"/>
  <c r="I8" i="2"/>
  <c r="H12" i="3" s="1"/>
  <c r="I44" i="1"/>
  <c r="I9" i="2"/>
  <c r="I19" i="2"/>
  <c r="H15" i="3" s="1"/>
  <c r="I18" i="2"/>
  <c r="I7" i="2"/>
  <c r="G46" i="1"/>
  <c r="J37" i="1"/>
  <c r="J36" i="1" s="1"/>
  <c r="J32" i="1"/>
  <c r="F6" i="4"/>
  <c r="H13" i="3"/>
  <c r="D7" i="4"/>
  <c r="H40" i="1"/>
  <c r="H14" i="3" l="1"/>
  <c r="I20" i="2"/>
  <c r="J6" i="1"/>
  <c r="J44" i="1"/>
  <c r="J9" i="2"/>
  <c r="I13" i="3" s="1"/>
  <c r="J18" i="2"/>
  <c r="J38" i="1"/>
  <c r="J35" i="1" s="1"/>
  <c r="J10" i="1" s="1"/>
  <c r="J19" i="2"/>
  <c r="I15" i="3" s="1"/>
  <c r="J8" i="2"/>
  <c r="I12" i="3" s="1"/>
  <c r="J7" i="2"/>
  <c r="J33" i="1"/>
  <c r="F22" i="5"/>
  <c r="F23" i="5" s="1"/>
  <c r="F27" i="5" s="1"/>
  <c r="H46" i="1"/>
  <c r="E14" i="4"/>
  <c r="I11" i="3"/>
  <c r="I26" i="5"/>
  <c r="H9" i="3"/>
  <c r="I14" i="1"/>
  <c r="I40" i="1"/>
  <c r="E7" i="4"/>
  <c r="F51" i="1"/>
  <c r="F20" i="1" s="1"/>
  <c r="H11" i="3"/>
  <c r="C8" i="4"/>
  <c r="G21" i="5"/>
  <c r="J25" i="2"/>
  <c r="F53" i="1" l="1"/>
  <c r="I9" i="3"/>
  <c r="J14" i="1"/>
  <c r="I46" i="1"/>
  <c r="B9" i="4"/>
  <c r="E7" i="3"/>
  <c r="E17" i="3" s="1"/>
  <c r="F54" i="1"/>
  <c r="B12" i="4" s="1"/>
  <c r="H21" i="5"/>
  <c r="D8" i="4"/>
  <c r="J40" i="1"/>
  <c r="F7" i="4"/>
  <c r="G22" i="5"/>
  <c r="G23" i="5" s="1"/>
  <c r="G27" i="5" s="1"/>
  <c r="J26" i="5"/>
  <c r="F14" i="4"/>
  <c r="J20" i="2"/>
  <c r="I14" i="3"/>
  <c r="H22" i="5" l="1"/>
  <c r="H23" i="5" s="1"/>
  <c r="H27" i="5" s="1"/>
  <c r="I21" i="5"/>
  <c r="E8" i="4"/>
  <c r="E32" i="3"/>
  <c r="E36" i="3" s="1"/>
  <c r="E39" i="3" s="1"/>
  <c r="E42" i="3" s="1"/>
  <c r="F22" i="1"/>
  <c r="J46" i="1"/>
  <c r="F28" i="2"/>
  <c r="F41" i="3" l="1"/>
  <c r="F6" i="2"/>
  <c r="F10" i="2" s="1"/>
  <c r="F8" i="4"/>
  <c r="J21" i="5"/>
  <c r="B16" i="4"/>
  <c r="B18" i="4"/>
  <c r="I22" i="5"/>
  <c r="I23" i="5" s="1"/>
  <c r="I27" i="5" s="1"/>
  <c r="J22" i="5" l="1"/>
  <c r="J23" i="5" s="1"/>
  <c r="J27" i="5" s="1"/>
  <c r="B13" i="4"/>
  <c r="F15" i="2"/>
  <c r="B16" i="5"/>
  <c r="B17" i="5" s="1"/>
  <c r="B18" i="5" s="1"/>
  <c r="G48" i="1"/>
  <c r="C10" i="4" s="1"/>
  <c r="G22" i="2"/>
  <c r="B17" i="4"/>
  <c r="B15" i="4"/>
  <c r="F26" i="2"/>
  <c r="F30" i="2" s="1"/>
  <c r="F32" i="2" s="1"/>
  <c r="F28" i="5" l="1"/>
  <c r="F29" i="5" s="1"/>
  <c r="G28" i="5"/>
  <c r="G29" i="5" s="1"/>
  <c r="J28" i="5"/>
  <c r="J29" i="5" s="1"/>
  <c r="H28" i="5"/>
  <c r="H29" i="5" s="1"/>
  <c r="J31" i="5"/>
  <c r="J32" i="5" s="1"/>
  <c r="B35" i="5" s="1"/>
  <c r="I28" i="5"/>
  <c r="I29" i="5" s="1"/>
  <c r="G18" i="1"/>
  <c r="G49" i="1"/>
  <c r="G26" i="2"/>
  <c r="H48" i="1"/>
  <c r="H22" i="2"/>
  <c r="C11" i="4"/>
  <c r="H26" i="2" l="1"/>
  <c r="I48" i="1"/>
  <c r="I22" i="2"/>
  <c r="D10" i="4"/>
  <c r="H18" i="1"/>
  <c r="H49" i="1"/>
  <c r="D11" i="4"/>
  <c r="G53" i="1"/>
  <c r="G51" i="1"/>
  <c r="G20" i="1" s="1"/>
  <c r="B34" i="5"/>
  <c r="B36" i="5" s="1"/>
  <c r="B38" i="5" s="1"/>
  <c r="I26" i="2" l="1"/>
  <c r="J48" i="1"/>
  <c r="J22" i="2"/>
  <c r="H51" i="1"/>
  <c r="H20" i="1" s="1"/>
  <c r="H53" i="1"/>
  <c r="G54" i="1"/>
  <c r="G28" i="2" s="1"/>
  <c r="C9" i="4"/>
  <c r="F7" i="3"/>
  <c r="F17" i="3" s="1"/>
  <c r="I18" i="1"/>
  <c r="E11" i="4"/>
  <c r="I49" i="1"/>
  <c r="E10" i="4"/>
  <c r="C17" i="4" l="1"/>
  <c r="C16" i="4"/>
  <c r="C15" i="4"/>
  <c r="G30" i="2"/>
  <c r="C18" i="4"/>
  <c r="C12" i="4"/>
  <c r="J26" i="2"/>
  <c r="I51" i="1"/>
  <c r="I20" i="1" s="1"/>
  <c r="J18" i="1"/>
  <c r="F11" i="4"/>
  <c r="J49" i="1"/>
  <c r="F10" i="4"/>
  <c r="H54" i="1"/>
  <c r="G7" i="3"/>
  <c r="G17" i="3" s="1"/>
  <c r="D9" i="4"/>
  <c r="D12" i="4"/>
  <c r="F32" i="3"/>
  <c r="F36" i="3" s="1"/>
  <c r="F39" i="3" s="1"/>
  <c r="F42" i="3" s="1"/>
  <c r="G22" i="1"/>
  <c r="G41" i="3" l="1"/>
  <c r="G6" i="2"/>
  <c r="G10" i="2" s="1"/>
  <c r="J51" i="1"/>
  <c r="J20" i="1" s="1"/>
  <c r="I53" i="1"/>
  <c r="G39" i="3"/>
  <c r="G32" i="3"/>
  <c r="G36" i="3" s="1"/>
  <c r="H22" i="1"/>
  <c r="H28" i="2"/>
  <c r="D16" i="4" l="1"/>
  <c r="I28" i="2"/>
  <c r="D17" i="4"/>
  <c r="D15" i="4"/>
  <c r="H30" i="2"/>
  <c r="D18" i="4"/>
  <c r="J53" i="1"/>
  <c r="C13" i="4"/>
  <c r="G15" i="2"/>
  <c r="G32" i="2" s="1"/>
  <c r="H7" i="3"/>
  <c r="H17" i="3" s="1"/>
  <c r="E9" i="4"/>
  <c r="I54" i="1"/>
  <c r="E12" i="4"/>
  <c r="G42" i="3"/>
  <c r="H32" i="3" l="1"/>
  <c r="H36" i="3" s="1"/>
  <c r="H39" i="3" s="1"/>
  <c r="I22" i="1"/>
  <c r="H41" i="3"/>
  <c r="H6" i="2"/>
  <c r="H10" i="2" s="1"/>
  <c r="F9" i="4"/>
  <c r="J54" i="1"/>
  <c r="I7" i="3"/>
  <c r="I17" i="3" s="1"/>
  <c r="F12" i="4"/>
  <c r="E16" i="4"/>
  <c r="J28" i="2"/>
  <c r="E17" i="4"/>
  <c r="E15" i="4"/>
  <c r="I30" i="2"/>
  <c r="E18" i="4"/>
  <c r="F17" i="4" l="1"/>
  <c r="F16" i="4"/>
  <c r="F15" i="4"/>
  <c r="J30" i="2"/>
  <c r="F18" i="4"/>
  <c r="H42" i="3"/>
  <c r="J22" i="1"/>
  <c r="I32" i="3"/>
  <c r="I36" i="3" s="1"/>
  <c r="I39" i="3" s="1"/>
  <c r="D13" i="4"/>
  <c r="H15" i="2"/>
  <c r="H32" i="2" s="1"/>
  <c r="I41" i="3" l="1"/>
  <c r="I42" i="3" s="1"/>
  <c r="J6" i="2" s="1"/>
  <c r="J10" i="2" s="1"/>
  <c r="I6" i="2"/>
  <c r="I10" i="2" s="1"/>
  <c r="F13" i="4" l="1"/>
  <c r="J15" i="2"/>
  <c r="J32" i="2" s="1"/>
  <c r="I15" i="2"/>
  <c r="I32" i="2" s="1"/>
  <c r="E1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0" authorId="0" shapeId="0" xr:uid="{00000000-0006-0000-0100-000001000000}">
      <text>
        <r>
          <rPr>
            <sz val="10"/>
            <rFont val="Arial"/>
            <family val="2"/>
          </rPr>
          <t>Audit note: The 2024 Current Assets subtotal given in the original workbook (44.0) does not equal the sum of its own line items (Cash 1.0 + AR 5.8 + Inventory 31.4 + Other Current Assets 5.7 = 43.9). This pre-existing 0.1 data inconsistency in the historical Balance Sheet is the source of the constant 0.1 variance in the forecast 'balance check' row. Historical figures were left unchanged per the assignment instructions; the forecast formulas correctly roll forward from the underlying 2024 line items (not the inconsistent subtotal), so the 0.1 gap is fully explained and does not indicate a forecast-logic error.</t>
        </r>
      </text>
    </comment>
  </commentList>
</comments>
</file>

<file path=xl/sharedStrings.xml><?xml version="1.0" encoding="utf-8"?>
<sst xmlns="http://schemas.openxmlformats.org/spreadsheetml/2006/main" count="174" uniqueCount="144">
  <si>
    <t>EXCEL MODELING TEST</t>
  </si>
  <si>
    <t>Income Statement</t>
  </si>
  <si>
    <t>(INR, Millions)</t>
  </si>
  <si>
    <t>Net Sales</t>
  </si>
  <si>
    <t>Cost of Goods Sold</t>
  </si>
  <si>
    <t>SG&amp;A</t>
  </si>
  <si>
    <t>Fixed SG &amp;A</t>
  </si>
  <si>
    <t>Variable SG&amp;A</t>
  </si>
  <si>
    <t>Provision for warranty</t>
  </si>
  <si>
    <t>Depreciation</t>
  </si>
  <si>
    <t>Net Interest Expense</t>
  </si>
  <si>
    <t>Income Taxes</t>
  </si>
  <si>
    <t>Dividends</t>
  </si>
  <si>
    <t xml:space="preserve">-   </t>
  </si>
  <si>
    <t xml:space="preserve"> -   </t>
  </si>
  <si>
    <t>Construct the Income Statement of the company showing Gross Profit, EBITDA, EBIT &amp; Net Profit</t>
  </si>
  <si>
    <t>Sales Growth (%)</t>
  </si>
  <si>
    <t>COGS</t>
  </si>
  <si>
    <t>COGS Growth (%)</t>
  </si>
  <si>
    <t>Gross Profit</t>
  </si>
  <si>
    <t>Fixed SG&amp;A Growth (%)</t>
  </si>
  <si>
    <t>Variable( as % of sales)</t>
  </si>
  <si>
    <t>EBITDA</t>
  </si>
  <si>
    <t>Depreciation (%)</t>
  </si>
  <si>
    <t>Provision for Warranty</t>
  </si>
  <si>
    <t>Provision (%)</t>
  </si>
  <si>
    <t>EBIT</t>
  </si>
  <si>
    <t>Interest</t>
  </si>
  <si>
    <t>PBT</t>
  </si>
  <si>
    <t>Tax</t>
  </si>
  <si>
    <t>Net Profit</t>
  </si>
  <si>
    <t>Dividend Payout</t>
  </si>
  <si>
    <t>Balance Sheet</t>
  </si>
  <si>
    <t>Cash and Equivalents</t>
  </si>
  <si>
    <t>Accounts Receivables</t>
  </si>
  <si>
    <t>Inventory</t>
  </si>
  <si>
    <t>Other Current Assets</t>
  </si>
  <si>
    <t>Current Assets</t>
  </si>
  <si>
    <t>Net Property, Plant and Equipment (Net Block)</t>
  </si>
  <si>
    <t>Other Long-term Assets (Land)</t>
  </si>
  <si>
    <t>Investment In Subsidiary</t>
  </si>
  <si>
    <t xml:space="preserve">  Total Assets</t>
  </si>
  <si>
    <t>Accounts Payable</t>
  </si>
  <si>
    <t>Other Current Liabilities</t>
  </si>
  <si>
    <t>Current Liabilities</t>
  </si>
  <si>
    <t>Debt</t>
  </si>
  <si>
    <t>Convertible Bond -2027</t>
  </si>
  <si>
    <t>Other Long-Term Liabilities</t>
  </si>
  <si>
    <t>Total Liabilities</t>
  </si>
  <si>
    <t>Shareholders' Equity</t>
  </si>
  <si>
    <t xml:space="preserve">  Total Liabilities and SHE</t>
  </si>
  <si>
    <t xml:space="preserve">  balance check</t>
  </si>
  <si>
    <t>Cash Flow Statement</t>
  </si>
  <si>
    <t>Cash From Operations</t>
  </si>
  <si>
    <t>Add: Depreciation</t>
  </si>
  <si>
    <t>Add: Provision</t>
  </si>
  <si>
    <t>Less: cash paid for warranty service</t>
  </si>
  <si>
    <t>(Increase)/Decrease in Receivables</t>
  </si>
  <si>
    <t>(Increase)/Decrease in Inventory</t>
  </si>
  <si>
    <t>(Increase)/Decrease in Other Current Assets</t>
  </si>
  <si>
    <t>Increase/(Decrease in Accounts Payable</t>
  </si>
  <si>
    <t>Increase/(Decrease in Other CL</t>
  </si>
  <si>
    <t>Cash (Used) in Investing Activities</t>
  </si>
  <si>
    <t>Capital Expenditures</t>
  </si>
  <si>
    <t>Investment in Subsidiary</t>
  </si>
  <si>
    <t>Cash (Used) in Financing Activities</t>
  </si>
  <si>
    <t>Debt Repaid</t>
  </si>
  <si>
    <t>Dividend Paid</t>
  </si>
  <si>
    <t>Net Cash Flow</t>
  </si>
  <si>
    <t>Beginning Cash Balance</t>
  </si>
  <si>
    <t>Ending Cash Balance</t>
  </si>
  <si>
    <t>Key Ratios</t>
  </si>
  <si>
    <t>Net Sales Growth %</t>
  </si>
  <si>
    <t>Gross Profit Margin</t>
  </si>
  <si>
    <t>EBIT Margin</t>
  </si>
  <si>
    <t>Net Profit Margin</t>
  </si>
  <si>
    <t>Interest Coverage Ratio</t>
  </si>
  <si>
    <t>Debt Service Coverage Ratio</t>
  </si>
  <si>
    <t>Retention Ratio</t>
  </si>
  <si>
    <t xml:space="preserve">Current Ratio </t>
  </si>
  <si>
    <t>Receivable Days</t>
  </si>
  <si>
    <t xml:space="preserve">Debt Equity </t>
  </si>
  <si>
    <t>Book Value (INR million)</t>
  </si>
  <si>
    <t>Return on Capital Employed</t>
  </si>
  <si>
    <t>Return on Equity</t>
  </si>
  <si>
    <t>FCFF Valuation</t>
  </si>
  <si>
    <t xml:space="preserve">Beta to beused for stock </t>
  </si>
  <si>
    <t>Riskfree rate (Rf)</t>
  </si>
  <si>
    <t>Market Rate of Return (Rm)</t>
  </si>
  <si>
    <t>Growth Rate</t>
  </si>
  <si>
    <t>Cost of Equity (CAPM)</t>
  </si>
  <si>
    <t>Pre-tax Cost of Debt</t>
  </si>
  <si>
    <t>Tax Rate</t>
  </si>
  <si>
    <t>After-tax Cost of Debt</t>
  </si>
  <si>
    <t>Weight of Equity</t>
  </si>
  <si>
    <t>Weight of Debt</t>
  </si>
  <si>
    <t>WACC</t>
  </si>
  <si>
    <t>Less: Tax on EBIT</t>
  </si>
  <si>
    <t>NOPAT</t>
  </si>
  <si>
    <t>Less: Capital Expenditure</t>
  </si>
  <si>
    <t>Less: Increase in Net Working Capital</t>
  </si>
  <si>
    <t>Free Cash Flow to Firm (FCFF)</t>
  </si>
  <si>
    <t>Discount Factor</t>
  </si>
  <si>
    <t>PV of FCFF</t>
  </si>
  <si>
    <t>Terminal Value (end of 2029)</t>
  </si>
  <si>
    <t>PV of Terminal Value</t>
  </si>
  <si>
    <t>Sum of PV of FCFF (2025-2029)</t>
  </si>
  <si>
    <t>Enterprise Value</t>
  </si>
  <si>
    <t>Less: Net Debt (as of 2024)</t>
  </si>
  <si>
    <t>Equity Value</t>
  </si>
  <si>
    <t>Working Capital and Balance Sheet</t>
  </si>
  <si>
    <t xml:space="preserve">Net Sales </t>
  </si>
  <si>
    <t xml:space="preserve">For 2025 - Sales grows by the CAGR of 2007-10 plus - </t>
  </si>
  <si>
    <t xml:space="preserve">Working capital:  Use the same proportions as a percentage </t>
  </si>
  <si>
    <t xml:space="preserve">For 2026 to 2029 - Sales grows at previous year's growth plus - </t>
  </si>
  <si>
    <t>of revenues as observed in previous year</t>
  </si>
  <si>
    <t>Other Long-term Assets:  Keep flat.</t>
  </si>
  <si>
    <t>Cost of Goods Sold (COGS)</t>
  </si>
  <si>
    <t>Other Long-term Liabilities:  Keep flat.</t>
  </si>
  <si>
    <t>C O G S Growth /Net Sales Growth ('11 &amp; '12)</t>
  </si>
  <si>
    <t>Debt: Company takes additional debt of US$10 million in 2025 &amp; repays US$3 million every year from 2026 to 29</t>
  </si>
  <si>
    <t xml:space="preserve">  (ie, if sales grows by 100%, COGS grows by90%)</t>
  </si>
  <si>
    <t>Convertible bond gets converted at the year mentioned with it</t>
  </si>
  <si>
    <t>C O G S growth /Net Sales Growth ('13 to '15)</t>
  </si>
  <si>
    <t>Dividend Payout ratio as % of net income</t>
  </si>
  <si>
    <t xml:space="preserve">  (ie, if sales grows by 100%, COGS grows by 92.5%)</t>
  </si>
  <si>
    <t>Investment in subsidiary: The company would buy controlling stake in a company in 2025</t>
  </si>
  <si>
    <t>for US$5 mn. It would sell 40% of it at cost in 2027 and remaining stake in 2029 at cost.</t>
  </si>
  <si>
    <t>Fixed SG&amp;A growth rate/Net Sales Growth</t>
  </si>
  <si>
    <t xml:space="preserve">  (ie, if sales grows by 10%, fixed SG&amp;A grows by 2.5%)</t>
  </si>
  <si>
    <t>Variable SG&amp;A as % of Net Sales</t>
  </si>
  <si>
    <t>Depreciation on Opening Net Block</t>
  </si>
  <si>
    <t>Provision for warranty (as a % of  Net Sales)</t>
  </si>
  <si>
    <t>Warranty service: The company is expected to incur the following</t>
  </si>
  <si>
    <t>cash expenditure for repair of products under warranty</t>
  </si>
  <si>
    <t>INR 2.0 mn</t>
  </si>
  <si>
    <t>INR 3.0 mn</t>
  </si>
  <si>
    <t>Tax Rate (every year)</t>
  </si>
  <si>
    <t>Interest Expense (on debt + convertible bond)</t>
  </si>
  <si>
    <t>Condition 1:</t>
  </si>
  <si>
    <t>Use beginning of year balance to calculate interest expense at</t>
  </si>
  <si>
    <t>Condition 2:</t>
  </si>
  <si>
    <t xml:space="preserve">If Interest coverage falls below 6 times, calculate interest expense </t>
  </si>
  <si>
    <t>for next year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</si>
</sst>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0"/>
  </numFmts>
  <fonts count="15">
    <font>
      <sz val="11"/>
      <color theme="1"/>
      <name val="Aptos Narrow"/>
      <family val="2"/>
      <charset val="1"/>
    </font>
    <font>
      <sz val="10"/>
      <name val="Arial"/>
      <family val="2"/>
    </font>
    <font>
      <b/>
      <sz val="12"/>
      <name val="Times New Roman"/>
      <family val="1"/>
      <charset val="1"/>
    </font>
    <font>
      <sz val="12"/>
      <name val="Times New Roman"/>
      <family val="1"/>
      <charset val="1"/>
    </font>
    <font>
      <sz val="10"/>
      <name val="Times New Roman"/>
      <family val="1"/>
      <charset val="1"/>
    </font>
    <font>
      <i/>
      <sz val="10"/>
      <name val="Times New Roman"/>
      <family val="1"/>
      <charset val="1"/>
    </font>
    <font>
      <b/>
      <sz val="10"/>
      <name val="Times New Roman"/>
      <family val="1"/>
      <charset val="1"/>
    </font>
    <font>
      <b/>
      <sz val="11"/>
      <name val="Times New Roman"/>
      <family val="1"/>
      <charset val="1"/>
    </font>
    <font>
      <sz val="7"/>
      <name val="Times New Roman"/>
      <family val="1"/>
      <charset val="1"/>
    </font>
    <font>
      <b/>
      <u/>
      <sz val="10"/>
      <name val="Times New Roman"/>
      <family val="1"/>
      <charset val="1"/>
    </font>
    <font>
      <sz val="10"/>
      <color rgb="FF0000FF"/>
      <name val="Times New Roman"/>
      <family val="1"/>
      <charset val="1"/>
    </font>
    <font>
      <b/>
      <sz val="8"/>
      <name val="Times New Roman"/>
      <family val="1"/>
      <charset val="1"/>
    </font>
    <font>
      <sz val="10"/>
      <color rgb="FFFF00FF"/>
      <name val="Times New Roman"/>
      <family val="1"/>
      <charset val="1"/>
    </font>
    <font>
      <b/>
      <sz val="10"/>
      <name val="Times New Roman"/>
      <family val="1"/>
    </font>
    <font>
      <b/>
      <sz val="11"/>
      <color theme="1"/>
      <name val="Aptos Narrow"/>
      <family val="2"/>
    </font>
  </fonts>
  <fills count="5">
    <fill>
      <patternFill patternType="none"/>
    </fill>
    <fill>
      <patternFill patternType="gray125"/>
    </fill>
    <fill>
      <patternFill patternType="solid">
        <fgColor rgb="FF92CDDC"/>
        <bgColor rgb="FFC0C0C0"/>
      </patternFill>
    </fill>
    <fill>
      <patternFill patternType="solid">
        <fgColor rgb="FFFFFFFF"/>
        <bgColor rgb="FFFFFFCC"/>
      </patternFill>
    </fill>
    <fill>
      <patternFill patternType="solid">
        <fgColor rgb="FFFFFFCC"/>
        <bgColor rgb="FFFFFFFF"/>
      </patternFill>
    </fill>
  </fills>
  <borders count="11">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4" fillId="0" borderId="0" xfId="0" applyFont="1"/>
    <xf numFmtId="0" fontId="4" fillId="0" borderId="0" xfId="0" applyFont="1"/>
    <xf numFmtId="0" fontId="5" fillId="0" borderId="0" xfId="0" applyFont="1"/>
    <xf numFmtId="0" fontId="6" fillId="0" borderId="0" xfId="0" applyFont="1"/>
    <xf numFmtId="2" fontId="0" fillId="0" borderId="0" xfId="0" applyNumberFormat="1"/>
    <xf numFmtId="0" fontId="0" fillId="3" borderId="0" xfId="0" applyFill="1"/>
    <xf numFmtId="10" fontId="0" fillId="3" borderId="0" xfId="0" applyNumberFormat="1" applyFill="1"/>
    <xf numFmtId="9" fontId="0" fillId="3" borderId="0" xfId="0" applyNumberFormat="1" applyFill="1"/>
    <xf numFmtId="0" fontId="2" fillId="0" borderId="4" xfId="0" applyFont="1" applyBorder="1"/>
    <xf numFmtId="0" fontId="3" fillId="0" borderId="4" xfId="0" applyFont="1" applyBorder="1"/>
    <xf numFmtId="0" fontId="4" fillId="0" borderId="4" xfId="0" applyFont="1" applyBorder="1"/>
    <xf numFmtId="0" fontId="4" fillId="0" borderId="4" xfId="0" applyFont="1" applyBorder="1"/>
    <xf numFmtId="0" fontId="5" fillId="0" borderId="4" xfId="0" applyFont="1" applyBorder="1"/>
    <xf numFmtId="0" fontId="6" fillId="0" borderId="4" xfId="0" applyFont="1" applyBorder="1"/>
    <xf numFmtId="0" fontId="6" fillId="0" borderId="4" xfId="0" applyFont="1" applyBorder="1"/>
    <xf numFmtId="0" fontId="10" fillId="0" borderId="4" xfId="0" applyFont="1" applyBorder="1" applyAlignment="1">
      <alignment horizontal="right"/>
    </xf>
    <xf numFmtId="10" fontId="10" fillId="0" borderId="4" xfId="0" applyNumberFormat="1" applyFont="1" applyBorder="1" applyAlignment="1">
      <alignment horizontal="right"/>
    </xf>
    <xf numFmtId="0" fontId="4" fillId="0" borderId="4" xfId="0" applyFont="1" applyBorder="1" applyAlignment="1">
      <alignment horizontal="right"/>
    </xf>
    <xf numFmtId="10" fontId="4" fillId="0" borderId="4" xfId="0" applyNumberFormat="1" applyFont="1" applyBorder="1"/>
    <xf numFmtId="0" fontId="13" fillId="0" borderId="4" xfId="0" applyFont="1" applyBorder="1"/>
    <xf numFmtId="10" fontId="13" fillId="0" borderId="4" xfId="0" applyNumberFormat="1" applyFont="1" applyBorder="1"/>
    <xf numFmtId="0" fontId="0" fillId="0" borderId="4" xfId="0" applyBorder="1"/>
    <xf numFmtId="2" fontId="0" fillId="0" borderId="4" xfId="0" applyNumberFormat="1" applyBorder="1"/>
    <xf numFmtId="2" fontId="13" fillId="0" borderId="4" xfId="0" applyNumberFormat="1" applyFont="1" applyBorder="1"/>
    <xf numFmtId="165" fontId="0" fillId="0" borderId="4" xfId="0" applyNumberFormat="1" applyBorder="1"/>
    <xf numFmtId="10" fontId="4" fillId="0" borderId="4" xfId="0" applyNumberFormat="1" applyFont="1" applyBorder="1"/>
    <xf numFmtId="164" fontId="4" fillId="0" borderId="4" xfId="0" applyNumberFormat="1" applyFont="1" applyBorder="1" applyAlignment="1">
      <alignment horizontal="right"/>
    </xf>
    <xf numFmtId="164" fontId="4" fillId="0" borderId="4" xfId="0" applyNumberFormat="1" applyFont="1" applyBorder="1"/>
    <xf numFmtId="2" fontId="4" fillId="0" borderId="4" xfId="0" applyNumberFormat="1" applyFont="1" applyBorder="1"/>
    <xf numFmtId="0" fontId="5" fillId="0" borderId="4" xfId="0" applyFont="1" applyBorder="1"/>
    <xf numFmtId="0" fontId="9" fillId="0" borderId="4" xfId="0" applyFont="1" applyBorder="1"/>
    <xf numFmtId="0" fontId="4" fillId="0" borderId="4" xfId="0" applyFont="1" applyBorder="1" applyAlignment="1">
      <alignment horizontal="left" indent="1"/>
    </xf>
    <xf numFmtId="2" fontId="6" fillId="0" borderId="4" xfId="0" applyNumberFormat="1" applyFont="1" applyBorder="1"/>
    <xf numFmtId="2" fontId="10" fillId="0" borderId="4" xfId="0" applyNumberFormat="1" applyFont="1" applyBorder="1"/>
    <xf numFmtId="2" fontId="10" fillId="0" borderId="4" xfId="0" applyNumberFormat="1" applyFont="1" applyBorder="1" applyAlignment="1">
      <alignment horizontal="right"/>
    </xf>
    <xf numFmtId="0" fontId="12" fillId="0" borderId="4" xfId="0" applyFont="1" applyBorder="1"/>
    <xf numFmtId="2" fontId="12" fillId="0" borderId="4" xfId="0" applyNumberFormat="1" applyFont="1" applyBorder="1"/>
    <xf numFmtId="0" fontId="4" fillId="0" borderId="4" xfId="0" applyFont="1" applyBorder="1" applyAlignment="1"/>
    <xf numFmtId="0" fontId="11" fillId="0" borderId="4" xfId="0" applyFont="1" applyBorder="1" applyAlignment="1"/>
    <xf numFmtId="0" fontId="6" fillId="0" borderId="4" xfId="0" applyFont="1" applyBorder="1" applyAlignment="1"/>
    <xf numFmtId="0" fontId="4" fillId="0" borderId="9" xfId="0" applyFont="1" applyBorder="1"/>
    <xf numFmtId="0" fontId="4" fillId="0" borderId="3" xfId="0" applyFont="1" applyBorder="1"/>
    <xf numFmtId="0" fontId="4" fillId="0" borderId="10" xfId="0" applyFont="1" applyBorder="1"/>
    <xf numFmtId="0" fontId="6" fillId="0" borderId="9" xfId="0" applyFont="1" applyBorder="1"/>
    <xf numFmtId="0" fontId="6" fillId="0" borderId="3" xfId="0" applyFont="1" applyBorder="1"/>
    <xf numFmtId="0" fontId="6" fillId="0" borderId="10" xfId="0" applyFont="1" applyBorder="1"/>
    <xf numFmtId="0" fontId="8" fillId="0" borderId="4" xfId="0" applyFont="1" applyBorder="1"/>
    <xf numFmtId="2" fontId="8" fillId="0" borderId="4" xfId="0" applyNumberFormat="1" applyFont="1" applyBorder="1"/>
    <xf numFmtId="2" fontId="3" fillId="0" borderId="4" xfId="0" applyNumberFormat="1" applyFont="1" applyBorder="1"/>
    <xf numFmtId="0" fontId="3" fillId="0" borderId="4" xfId="0" applyFont="1" applyBorder="1"/>
    <xf numFmtId="0" fontId="5" fillId="0" borderId="4" xfId="0" applyFont="1" applyBorder="1" applyAlignment="1">
      <alignment horizontal="left" indent="3"/>
    </xf>
    <xf numFmtId="2" fontId="5" fillId="0" borderId="4" xfId="0" applyNumberFormat="1" applyFont="1" applyBorder="1"/>
    <xf numFmtId="0" fontId="7" fillId="2" borderId="4" xfId="0" applyFont="1" applyFill="1" applyBorder="1"/>
    <xf numFmtId="0" fontId="4" fillId="2" borderId="4" xfId="0" applyFont="1" applyFill="1" applyBorder="1"/>
    <xf numFmtId="2" fontId="4" fillId="0" borderId="4" xfId="0" applyNumberFormat="1" applyFont="1" applyBorder="1" applyAlignment="1">
      <alignment horizontal="right"/>
    </xf>
    <xf numFmtId="2" fontId="6" fillId="0" borderId="4" xfId="0" applyNumberFormat="1" applyFont="1" applyBorder="1" applyAlignment="1">
      <alignment horizontal="right"/>
    </xf>
    <xf numFmtId="2" fontId="4" fillId="3" borderId="4" xfId="0" applyNumberFormat="1" applyFont="1" applyFill="1" applyBorder="1"/>
    <xf numFmtId="2" fontId="4" fillId="4" borderId="4" xfId="0" applyNumberFormat="1" applyFont="1" applyFill="1" applyBorder="1"/>
    <xf numFmtId="0" fontId="3" fillId="0" borderId="5" xfId="0" applyFont="1" applyBorder="1" applyAlignment="1">
      <alignment horizontal="center"/>
    </xf>
    <xf numFmtId="0" fontId="3" fillId="0" borderId="2"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1" xfId="0" applyFont="1" applyBorder="1" applyAlignment="1">
      <alignment horizontal="center"/>
    </xf>
    <xf numFmtId="0" fontId="3" fillId="0" borderId="8" xfId="0" applyFont="1" applyBorder="1" applyAlignment="1">
      <alignment horizontal="center"/>
    </xf>
    <xf numFmtId="2" fontId="14"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
  <sheetViews>
    <sheetView tabSelected="1" topLeftCell="A2" zoomScale="54" zoomScaleNormal="84" workbookViewId="0">
      <selection activeCell="Q43" sqref="Q43"/>
    </sheetView>
  </sheetViews>
  <sheetFormatPr defaultColWidth="8.5703125" defaultRowHeight="15"/>
  <cols>
    <col min="1" max="1" width="26.42578125" customWidth="1"/>
    <col min="6" max="6" width="8.140625" customWidth="1"/>
  </cols>
  <sheetData>
    <row r="1" spans="1:11" ht="15.75" customHeight="1">
      <c r="A1" s="9" t="s">
        <v>0</v>
      </c>
      <c r="B1" s="50"/>
      <c r="C1" s="12"/>
      <c r="D1" s="12"/>
      <c r="E1" s="12"/>
      <c r="F1" s="12"/>
      <c r="G1" s="12"/>
      <c r="H1" s="12"/>
      <c r="I1" s="12"/>
      <c r="J1" s="12"/>
      <c r="K1" s="2"/>
    </row>
    <row r="2" spans="1:11" ht="15.75" customHeight="1">
      <c r="A2" s="9" t="s">
        <v>1</v>
      </c>
      <c r="B2" s="50"/>
      <c r="C2" s="12"/>
      <c r="D2" s="12"/>
      <c r="E2" s="12"/>
      <c r="F2" s="12"/>
      <c r="G2" s="12"/>
      <c r="H2" s="12"/>
      <c r="I2" s="12"/>
      <c r="J2" s="12"/>
      <c r="K2" s="2"/>
    </row>
    <row r="3" spans="1:11" ht="15" customHeight="1">
      <c r="A3" s="13" t="s">
        <v>2</v>
      </c>
      <c r="B3" s="12"/>
      <c r="C3" s="12"/>
      <c r="D3" s="12"/>
      <c r="E3" s="12"/>
      <c r="F3" s="12"/>
      <c r="G3" s="12"/>
      <c r="H3" s="12"/>
      <c r="I3" s="12"/>
      <c r="J3" s="12"/>
      <c r="K3" s="2"/>
    </row>
    <row r="4" spans="1:11" ht="15" customHeight="1">
      <c r="A4" s="12"/>
      <c r="B4" s="15">
        <v>2021</v>
      </c>
      <c r="C4" s="15">
        <v>2022</v>
      </c>
      <c r="D4" s="15">
        <v>2023</v>
      </c>
      <c r="E4" s="15">
        <v>2024</v>
      </c>
      <c r="F4" s="15">
        <v>2025</v>
      </c>
      <c r="G4" s="15">
        <v>2026</v>
      </c>
      <c r="H4" s="15">
        <v>2027</v>
      </c>
      <c r="I4" s="15">
        <v>2028</v>
      </c>
      <c r="J4" s="15">
        <v>2029</v>
      </c>
      <c r="K4" s="2"/>
    </row>
    <row r="5" spans="1:11" ht="15" customHeight="1">
      <c r="A5" s="12"/>
      <c r="B5" s="12"/>
      <c r="C5" s="12"/>
      <c r="D5" s="12"/>
      <c r="E5" s="12"/>
      <c r="F5" s="12"/>
      <c r="G5" s="12"/>
      <c r="H5" s="12"/>
      <c r="I5" s="12"/>
      <c r="J5" s="12"/>
      <c r="K5" s="2"/>
    </row>
    <row r="6" spans="1:11" ht="15" customHeight="1">
      <c r="A6" s="12" t="s">
        <v>3</v>
      </c>
      <c r="B6" s="29">
        <v>75.8</v>
      </c>
      <c r="C6" s="29">
        <v>94.3</v>
      </c>
      <c r="D6" s="29">
        <v>108.3</v>
      </c>
      <c r="E6" s="29">
        <v>125.1</v>
      </c>
      <c r="F6" s="29">
        <f>INC!F29</f>
        <v>150.34020393049539</v>
      </c>
      <c r="G6" s="29">
        <f>INC!G29</f>
        <v>182.17627908057545</v>
      </c>
      <c r="H6" s="29">
        <f>INC!H29</f>
        <v>222.57573140313474</v>
      </c>
      <c r="I6" s="29">
        <f>INC!I29</f>
        <v>274.15993260657399</v>
      </c>
      <c r="J6" s="29">
        <f>INC!J29</f>
        <v>340.44089912395287</v>
      </c>
      <c r="K6" s="2"/>
    </row>
    <row r="7" spans="1:11" ht="15" customHeight="1">
      <c r="A7" s="12"/>
      <c r="B7" s="12"/>
      <c r="C7" s="12"/>
      <c r="D7" s="12"/>
      <c r="E7" s="12"/>
      <c r="F7" s="12"/>
      <c r="G7" s="12"/>
      <c r="H7" s="12"/>
      <c r="I7" s="12"/>
      <c r="J7" s="12"/>
      <c r="K7" s="2"/>
    </row>
    <row r="8" spans="1:11" ht="15" customHeight="1">
      <c r="A8" s="12" t="s">
        <v>4</v>
      </c>
      <c r="B8" s="29">
        <v>49.4</v>
      </c>
      <c r="C8" s="29">
        <v>59.8</v>
      </c>
      <c r="D8" s="29">
        <v>69.5</v>
      </c>
      <c r="E8" s="29">
        <v>81.8</v>
      </c>
      <c r="F8" s="29">
        <f>INC!F31</f>
        <v>96.653587636795123</v>
      </c>
      <c r="G8" s="29">
        <f>INC!G31</f>
        <v>115.07423440442352</v>
      </c>
      <c r="H8" s="29">
        <f>INC!H31</f>
        <v>138.67920572451672</v>
      </c>
      <c r="I8" s="29">
        <f>INC!I31</f>
        <v>168.40900512941909</v>
      </c>
      <c r="J8" s="29">
        <f>INC!J31</f>
        <v>206.07000890840428</v>
      </c>
      <c r="K8" s="2"/>
    </row>
    <row r="9" spans="1:11" ht="15" customHeight="1">
      <c r="A9" s="12"/>
      <c r="B9" s="12"/>
      <c r="C9" s="12"/>
      <c r="D9" s="12"/>
      <c r="E9" s="12"/>
      <c r="F9" s="12"/>
      <c r="G9" s="12"/>
      <c r="H9" s="12"/>
      <c r="I9" s="12"/>
      <c r="J9" s="12"/>
      <c r="K9" s="2"/>
    </row>
    <row r="10" spans="1:11" ht="15" customHeight="1">
      <c r="A10" s="12" t="s">
        <v>5</v>
      </c>
      <c r="B10" s="29">
        <v>22.6</v>
      </c>
      <c r="C10" s="29">
        <v>29.3</v>
      </c>
      <c r="D10" s="29">
        <v>32.5</v>
      </c>
      <c r="E10" s="29">
        <v>37.299999999999997</v>
      </c>
      <c r="F10" s="29">
        <f>INC!F35</f>
        <v>39.791619749153021</v>
      </c>
      <c r="G10" s="29">
        <f>INC!G35</f>
        <v>44.04712539232608</v>
      </c>
      <c r="H10" s="29">
        <f>INC!H35</f>
        <v>49.216063514398613</v>
      </c>
      <c r="I10" s="29">
        <f>INC!I35</f>
        <v>55.549578562715439</v>
      </c>
      <c r="J10" s="29">
        <f>INC!J35</f>
        <v>63.380963431543066</v>
      </c>
      <c r="K10" s="2"/>
    </row>
    <row r="11" spans="1:11" ht="15" customHeight="1">
      <c r="A11" s="51" t="s">
        <v>6</v>
      </c>
      <c r="B11" s="52">
        <v>14</v>
      </c>
      <c r="C11" s="52">
        <v>20</v>
      </c>
      <c r="D11" s="52">
        <v>22</v>
      </c>
      <c r="E11" s="52">
        <v>25</v>
      </c>
      <c r="F11" s="13"/>
      <c r="G11" s="13"/>
      <c r="H11" s="13"/>
      <c r="I11" s="13"/>
      <c r="J11" s="13"/>
      <c r="K11" s="3"/>
    </row>
    <row r="12" spans="1:11" ht="15" customHeight="1">
      <c r="A12" s="51" t="s">
        <v>7</v>
      </c>
      <c r="B12" s="52">
        <v>8.6</v>
      </c>
      <c r="C12" s="52">
        <v>9.3000000000000007</v>
      </c>
      <c r="D12" s="52">
        <v>10.5</v>
      </c>
      <c r="E12" s="52">
        <v>12.3</v>
      </c>
      <c r="F12" s="13"/>
      <c r="G12" s="13"/>
      <c r="H12" s="13"/>
      <c r="I12" s="13"/>
      <c r="J12" s="13"/>
      <c r="K12" s="3"/>
    </row>
    <row r="13" spans="1:11" ht="15" customHeight="1">
      <c r="A13" s="51"/>
      <c r="B13" s="13"/>
      <c r="C13" s="13"/>
      <c r="D13" s="13"/>
      <c r="E13" s="13"/>
      <c r="F13" s="13"/>
      <c r="G13" s="13"/>
      <c r="H13" s="13"/>
      <c r="I13" s="13"/>
      <c r="J13" s="13"/>
      <c r="K13" s="3"/>
    </row>
    <row r="14" spans="1:11" ht="15" customHeight="1">
      <c r="A14" s="12" t="s">
        <v>8</v>
      </c>
      <c r="B14" s="13"/>
      <c r="C14" s="13"/>
      <c r="D14" s="13"/>
      <c r="E14" s="52">
        <v>0.2</v>
      </c>
      <c r="F14" s="52">
        <f>INC!F44</f>
        <v>1.5034020393049539</v>
      </c>
      <c r="G14" s="52">
        <f>INC!G44</f>
        <v>1.8217627908057545</v>
      </c>
      <c r="H14" s="52">
        <f>INC!H44</f>
        <v>2.2257573140313474</v>
      </c>
      <c r="I14" s="52">
        <f>INC!I44</f>
        <v>2.7415993260657401</v>
      </c>
      <c r="J14" s="52">
        <f>INC!J44</f>
        <v>3.4044089912395288</v>
      </c>
      <c r="K14" s="3"/>
    </row>
    <row r="15" spans="1:11" ht="15" customHeight="1">
      <c r="A15" s="12"/>
      <c r="B15" s="13"/>
      <c r="C15" s="13"/>
      <c r="D15" s="13"/>
      <c r="E15" s="13"/>
      <c r="F15" s="13"/>
      <c r="G15" s="13"/>
      <c r="H15" s="13"/>
      <c r="I15" s="13"/>
      <c r="J15" s="13"/>
      <c r="K15" s="3"/>
    </row>
    <row r="16" spans="1:11" ht="15" customHeight="1">
      <c r="A16" s="12" t="s">
        <v>9</v>
      </c>
      <c r="B16" s="29">
        <v>1.7</v>
      </c>
      <c r="C16" s="29">
        <v>2.2000000000000002</v>
      </c>
      <c r="D16" s="29">
        <v>2.8</v>
      </c>
      <c r="E16" s="29">
        <v>3.5</v>
      </c>
      <c r="F16" s="29">
        <f>INC!F42</f>
        <v>2.7450000000000001</v>
      </c>
      <c r="G16" s="29">
        <f>INC!G42</f>
        <v>2.70825</v>
      </c>
      <c r="H16" s="29">
        <f>INC!H42</f>
        <v>2.6020124999999998</v>
      </c>
      <c r="I16" s="29">
        <f>INC!I42</f>
        <v>2.0617106249999999</v>
      </c>
      <c r="J16" s="29">
        <f>INC!J42</f>
        <v>2.3524540312499997</v>
      </c>
      <c r="K16" s="2"/>
    </row>
    <row r="17" spans="1:11" ht="15" customHeight="1">
      <c r="A17" s="12"/>
      <c r="B17" s="12"/>
      <c r="C17" s="12"/>
      <c r="D17" s="12"/>
      <c r="E17" s="12"/>
      <c r="F17" s="12"/>
      <c r="G17" s="12"/>
      <c r="H17" s="12"/>
      <c r="I17" s="12"/>
      <c r="J17" s="12"/>
      <c r="K17" s="2"/>
    </row>
    <row r="18" spans="1:11" ht="15" customHeight="1">
      <c r="A18" s="12" t="s">
        <v>10</v>
      </c>
      <c r="B18" s="29">
        <v>0.3</v>
      </c>
      <c r="C18" s="29">
        <v>0.5</v>
      </c>
      <c r="D18" s="29">
        <v>0.3</v>
      </c>
      <c r="E18" s="29">
        <v>0.8</v>
      </c>
      <c r="F18" s="29">
        <f>INC!F48</f>
        <v>1.224</v>
      </c>
      <c r="G18" s="29">
        <f>INC!G48</f>
        <v>1.8239999999999998</v>
      </c>
      <c r="H18" s="29">
        <f>INC!H48</f>
        <v>1.6439999999999999</v>
      </c>
      <c r="I18" s="29">
        <f>INC!I48</f>
        <v>1.1639999999999999</v>
      </c>
      <c r="J18" s="29">
        <f>INC!J48</f>
        <v>0.98399999999999987</v>
      </c>
      <c r="K18" s="2"/>
    </row>
    <row r="19" spans="1:11" ht="15" customHeight="1">
      <c r="A19" s="12"/>
      <c r="B19" s="12"/>
      <c r="C19" s="12"/>
      <c r="D19" s="12"/>
      <c r="E19" s="12"/>
      <c r="F19" s="12"/>
      <c r="G19" s="12"/>
      <c r="H19" s="12"/>
      <c r="I19" s="12"/>
      <c r="J19" s="12"/>
      <c r="K19" s="2"/>
    </row>
    <row r="20" spans="1:11" ht="15" customHeight="1">
      <c r="A20" s="12" t="s">
        <v>11</v>
      </c>
      <c r="B20" s="29">
        <v>0.6</v>
      </c>
      <c r="C20" s="29">
        <v>0.9</v>
      </c>
      <c r="D20" s="29">
        <v>1.2</v>
      </c>
      <c r="E20" s="29">
        <v>0.7</v>
      </c>
      <c r="F20" s="29">
        <f>INC!F51</f>
        <v>2.5267783515726876</v>
      </c>
      <c r="G20" s="29">
        <f>INC!G51</f>
        <v>5.0102719479060296</v>
      </c>
      <c r="H20" s="29">
        <f>INC!H51</f>
        <v>8.462607705056417</v>
      </c>
      <c r="I20" s="29">
        <f>INC!I51</f>
        <v>13.270211689012116</v>
      </c>
      <c r="J20" s="29">
        <f>INC!J51</f>
        <v>19.274719128454798</v>
      </c>
      <c r="K20" s="2"/>
    </row>
    <row r="21" spans="1:11" ht="15" customHeight="1">
      <c r="A21" s="12"/>
      <c r="B21" s="12"/>
      <c r="C21" s="12"/>
      <c r="D21" s="12"/>
      <c r="E21" s="12"/>
      <c r="F21" s="12"/>
      <c r="G21" s="12"/>
      <c r="H21" s="12"/>
      <c r="I21" s="12"/>
      <c r="J21" s="12"/>
      <c r="K21" s="2"/>
    </row>
    <row r="22" spans="1:11" ht="15" customHeight="1">
      <c r="A22" s="12" t="s">
        <v>12</v>
      </c>
      <c r="B22" s="29" t="s">
        <v>13</v>
      </c>
      <c r="C22" s="29" t="s">
        <v>14</v>
      </c>
      <c r="D22" s="29" t="s">
        <v>14</v>
      </c>
      <c r="E22" s="29" t="s">
        <v>14</v>
      </c>
      <c r="F22" s="29">
        <f>INC!F54</f>
        <v>0.29479080768348026</v>
      </c>
      <c r="G22" s="29">
        <f>INC!G54</f>
        <v>0.58453172725570346</v>
      </c>
      <c r="H22" s="29">
        <f>INC!H54</f>
        <v>0.98730423225658215</v>
      </c>
      <c r="I22" s="29">
        <f>INC!I54</f>
        <v>1.5481913637180804</v>
      </c>
      <c r="J22" s="29">
        <f>INC!J54</f>
        <v>2.2487172316530599</v>
      </c>
      <c r="K22" s="2"/>
    </row>
    <row r="23" spans="1:11" ht="15" customHeight="1">
      <c r="A23" s="12"/>
      <c r="B23" s="12"/>
      <c r="C23" s="12"/>
      <c r="D23" s="12"/>
      <c r="E23" s="12"/>
      <c r="F23" s="12"/>
      <c r="G23" s="12"/>
      <c r="H23" s="12"/>
      <c r="I23" s="12"/>
      <c r="J23" s="12"/>
      <c r="K23" s="2"/>
    </row>
    <row r="24" spans="1:11" ht="15" customHeight="1">
      <c r="A24" s="12"/>
      <c r="B24" s="12"/>
      <c r="C24" s="12"/>
      <c r="D24" s="12"/>
      <c r="E24" s="12"/>
      <c r="F24" s="12"/>
      <c r="G24" s="12"/>
      <c r="H24" s="12"/>
      <c r="I24" s="12"/>
      <c r="J24" s="12"/>
      <c r="K24" s="2"/>
    </row>
    <row r="25" spans="1:11" ht="15" customHeight="1">
      <c r="A25" s="53" t="s">
        <v>15</v>
      </c>
      <c r="B25" s="54"/>
      <c r="C25" s="54"/>
      <c r="D25" s="54"/>
      <c r="E25" s="54"/>
      <c r="F25" s="54"/>
      <c r="G25" s="54"/>
      <c r="H25" s="54"/>
      <c r="I25" s="54"/>
      <c r="J25" s="54"/>
      <c r="K25" s="2"/>
    </row>
    <row r="26" spans="1:11" ht="15" customHeight="1">
      <c r="A26" s="12"/>
      <c r="B26" s="12"/>
      <c r="C26" s="12"/>
      <c r="D26" s="12"/>
      <c r="E26" s="12"/>
      <c r="F26" s="12"/>
      <c r="G26" s="12"/>
      <c r="H26" s="12"/>
      <c r="I26" s="12"/>
      <c r="J26" s="12"/>
      <c r="K26" s="2"/>
    </row>
    <row r="27" spans="1:11" ht="15" customHeight="1">
      <c r="A27" s="12"/>
      <c r="B27" s="12"/>
      <c r="C27" s="12"/>
      <c r="D27" s="12"/>
      <c r="E27" s="12"/>
      <c r="F27" s="12"/>
      <c r="G27" s="12"/>
      <c r="H27" s="12"/>
      <c r="I27" s="12"/>
      <c r="J27" s="12"/>
      <c r="K27" s="2"/>
    </row>
    <row r="28" spans="1:11" ht="15" customHeight="1">
      <c r="A28" s="12"/>
      <c r="B28" s="15">
        <v>2021</v>
      </c>
      <c r="C28" s="15">
        <v>2022</v>
      </c>
      <c r="D28" s="15">
        <v>2023</v>
      </c>
      <c r="E28" s="15">
        <v>2024</v>
      </c>
      <c r="F28" s="15">
        <v>2025</v>
      </c>
      <c r="G28" s="15">
        <v>2026</v>
      </c>
      <c r="H28" s="15">
        <v>2027</v>
      </c>
      <c r="I28" s="15">
        <v>2028</v>
      </c>
      <c r="J28" s="15">
        <v>2029</v>
      </c>
      <c r="K28" s="2"/>
    </row>
    <row r="29" spans="1:11" ht="15" customHeight="1">
      <c r="A29" s="12" t="s">
        <v>3</v>
      </c>
      <c r="B29" s="55">
        <v>75.8</v>
      </c>
      <c r="C29" s="55">
        <v>94.3</v>
      </c>
      <c r="D29" s="55">
        <v>108.3</v>
      </c>
      <c r="E29" s="55">
        <v>125.1</v>
      </c>
      <c r="F29" s="55">
        <f>E29*(1+F30)</f>
        <v>150.34020393049539</v>
      </c>
      <c r="G29" s="55">
        <f>F29*(1+G30)</f>
        <v>182.17627908057545</v>
      </c>
      <c r="H29" s="55">
        <f>G29*(1+H30)</f>
        <v>222.57573140313474</v>
      </c>
      <c r="I29" s="55">
        <f>H29*(1+I30)</f>
        <v>274.15993260657399</v>
      </c>
      <c r="J29" s="55">
        <f>I29*(1+J30)</f>
        <v>340.44089912395287</v>
      </c>
      <c r="K29" s="2"/>
    </row>
    <row r="30" spans="1:11" ht="15" customHeight="1">
      <c r="A30" s="12" t="s">
        <v>16</v>
      </c>
      <c r="B30" s="12"/>
      <c r="C30" s="12"/>
      <c r="D30" s="12"/>
      <c r="E30" s="26">
        <v>0.182</v>
      </c>
      <c r="F30" s="26">
        <f>(((E29/B29)^(1/3))-1)+2%</f>
        <v>0.20176022326535079</v>
      </c>
      <c r="G30" s="26">
        <f>F30+1%</f>
        <v>0.21176022326535079</v>
      </c>
      <c r="H30" s="26">
        <f>G30+1%</f>
        <v>0.2217602232653508</v>
      </c>
      <c r="I30" s="26">
        <f>H30+1%</f>
        <v>0.23176022326535081</v>
      </c>
      <c r="J30" s="26">
        <f>I30+1%</f>
        <v>0.24176022326535082</v>
      </c>
      <c r="K30" s="2"/>
    </row>
    <row r="31" spans="1:11" ht="15" customHeight="1">
      <c r="A31" s="12" t="s">
        <v>17</v>
      </c>
      <c r="B31" s="55">
        <v>49.4</v>
      </c>
      <c r="C31" s="55">
        <v>59.8</v>
      </c>
      <c r="D31" s="55">
        <v>69.5</v>
      </c>
      <c r="E31" s="55">
        <v>81.8</v>
      </c>
      <c r="F31" s="55">
        <f>E31*(1+F32)</f>
        <v>96.653587636795123</v>
      </c>
      <c r="G31" s="55">
        <f>F31*(1+G32)</f>
        <v>115.07423440442352</v>
      </c>
      <c r="H31" s="55">
        <f>G31*(1+H32)</f>
        <v>138.67920572451672</v>
      </c>
      <c r="I31" s="55">
        <f>H31*(1+I32)</f>
        <v>168.40900512941909</v>
      </c>
      <c r="J31" s="55">
        <f>I31*(1+J32)</f>
        <v>206.07000890840428</v>
      </c>
      <c r="K31" s="2"/>
    </row>
    <row r="32" spans="1:11" ht="15" customHeight="1">
      <c r="A32" s="12" t="s">
        <v>18</v>
      </c>
      <c r="B32" s="12"/>
      <c r="C32" s="12"/>
      <c r="D32" s="12"/>
      <c r="E32" s="26">
        <f>E31/D31-1</f>
        <v>0.17697841726618702</v>
      </c>
      <c r="F32" s="26">
        <f>F30*90%</f>
        <v>0.18158420093881572</v>
      </c>
      <c r="G32" s="26">
        <f>G30*90%</f>
        <v>0.19058420093881573</v>
      </c>
      <c r="H32" s="26">
        <f>H30*92.5%</f>
        <v>0.2051282065204495</v>
      </c>
      <c r="I32" s="26">
        <f>I30*92.5%</f>
        <v>0.2143782065204495</v>
      </c>
      <c r="J32" s="26">
        <f>J30*92.5%</f>
        <v>0.22362820652044951</v>
      </c>
      <c r="K32" s="2"/>
    </row>
    <row r="33" spans="1:11" ht="15" customHeight="1">
      <c r="A33" s="15" t="s">
        <v>19</v>
      </c>
      <c r="B33" s="56">
        <v>26.4</v>
      </c>
      <c r="C33" s="56">
        <v>34.4</v>
      </c>
      <c r="D33" s="56">
        <v>38.700000000000003</v>
      </c>
      <c r="E33" s="56">
        <v>43.3</v>
      </c>
      <c r="F33" s="56">
        <f>F29-F31</f>
        <v>53.686616293700268</v>
      </c>
      <c r="G33" s="56">
        <f>G29-G31</f>
        <v>67.102044676151934</v>
      </c>
      <c r="H33" s="56">
        <f>H29-H31</f>
        <v>83.896525678618019</v>
      </c>
      <c r="I33" s="56">
        <f>I29-I31</f>
        <v>105.7509274771549</v>
      </c>
      <c r="J33" s="56">
        <f>J29-J31</f>
        <v>134.3708902155486</v>
      </c>
      <c r="K33" s="4"/>
    </row>
    <row r="34" spans="1:11" ht="15" customHeight="1">
      <c r="A34" s="12"/>
      <c r="B34" s="12"/>
      <c r="C34" s="12"/>
      <c r="D34" s="12"/>
      <c r="E34" s="12"/>
      <c r="F34" s="12"/>
      <c r="G34" s="12"/>
      <c r="H34" s="12"/>
      <c r="I34" s="12"/>
      <c r="J34" s="12"/>
      <c r="K34" s="2"/>
    </row>
    <row r="35" spans="1:11" ht="15" customHeight="1">
      <c r="A35" s="12" t="s">
        <v>5</v>
      </c>
      <c r="B35" s="29">
        <v>22.6</v>
      </c>
      <c r="C35" s="29">
        <v>29.3</v>
      </c>
      <c r="D35" s="29">
        <v>32.5</v>
      </c>
      <c r="E35" s="29">
        <v>37.299999999999997</v>
      </c>
      <c r="F35" s="29">
        <f>F36+F38</f>
        <v>39.791619749153021</v>
      </c>
      <c r="G35" s="29">
        <f>G36+G38</f>
        <v>44.04712539232608</v>
      </c>
      <c r="H35" s="29">
        <f>H36+H38</f>
        <v>49.216063514398613</v>
      </c>
      <c r="I35" s="29">
        <f>I36+I38</f>
        <v>55.549578562715439</v>
      </c>
      <c r="J35" s="29">
        <f>J36+J38</f>
        <v>63.380963431543066</v>
      </c>
      <c r="K35" s="2"/>
    </row>
    <row r="36" spans="1:11" ht="15" customHeight="1">
      <c r="A36" s="51" t="s">
        <v>6</v>
      </c>
      <c r="B36" s="29">
        <v>14</v>
      </c>
      <c r="C36" s="29">
        <v>20</v>
      </c>
      <c r="D36" s="29">
        <v>22</v>
      </c>
      <c r="E36" s="29">
        <v>25</v>
      </c>
      <c r="F36" s="29">
        <f>E36*(1+F37)</f>
        <v>26.261001395408439</v>
      </c>
      <c r="G36" s="29">
        <f>F36*(1+G37)</f>
        <v>27.651260275074286</v>
      </c>
      <c r="H36" s="29">
        <f>G36*(1+H37)</f>
        <v>29.184247688116486</v>
      </c>
      <c r="I36" s="29">
        <f>H36*(1+I37)</f>
        <v>30.87518462812378</v>
      </c>
      <c r="J36" s="29">
        <f>I36*(1+J37)</f>
        <v>32.741282510387308</v>
      </c>
      <c r="K36" s="2"/>
    </row>
    <row r="37" spans="1:11" ht="15" customHeight="1">
      <c r="A37" s="12" t="s">
        <v>20</v>
      </c>
      <c r="B37" s="12"/>
      <c r="C37" s="12"/>
      <c r="D37" s="12"/>
      <c r="E37" s="12"/>
      <c r="F37" s="26">
        <f>F30*25%</f>
        <v>5.0440055816337696E-2</v>
      </c>
      <c r="G37" s="26">
        <f>G30*25%</f>
        <v>5.2940055816337699E-2</v>
      </c>
      <c r="H37" s="26">
        <f>H30*25%</f>
        <v>5.5440055816337701E-2</v>
      </c>
      <c r="I37" s="26">
        <f>I30*25%</f>
        <v>5.7940055816337703E-2</v>
      </c>
      <c r="J37" s="26">
        <f>J30*25%</f>
        <v>6.0440055816337705E-2</v>
      </c>
      <c r="K37" s="2"/>
    </row>
    <row r="38" spans="1:11" ht="15" customHeight="1">
      <c r="A38" s="51" t="s">
        <v>7</v>
      </c>
      <c r="B38" s="29">
        <v>8.6</v>
      </c>
      <c r="C38" s="29">
        <v>9.3000000000000007</v>
      </c>
      <c r="D38" s="29">
        <v>10.5</v>
      </c>
      <c r="E38" s="29">
        <v>12.3</v>
      </c>
      <c r="F38" s="23">
        <f>F29*F39</f>
        <v>13.530618353744584</v>
      </c>
      <c r="G38" s="23">
        <f>G29*G39</f>
        <v>16.395865117251791</v>
      </c>
      <c r="H38" s="23">
        <f>H29*H39</f>
        <v>20.031815826282127</v>
      </c>
      <c r="I38" s="23">
        <f>I29*I39</f>
        <v>24.674393934591659</v>
      </c>
      <c r="J38" s="23">
        <f>J29*J39</f>
        <v>30.639680921155758</v>
      </c>
      <c r="K38" s="2"/>
    </row>
    <row r="39" spans="1:11" ht="15" customHeight="1">
      <c r="A39" s="12" t="s">
        <v>21</v>
      </c>
      <c r="B39" s="12"/>
      <c r="C39" s="12"/>
      <c r="D39" s="12"/>
      <c r="E39" s="26">
        <f>9%</f>
        <v>0.09</v>
      </c>
      <c r="F39" s="26">
        <f>9%</f>
        <v>0.09</v>
      </c>
      <c r="G39" s="26">
        <f>9%</f>
        <v>0.09</v>
      </c>
      <c r="H39" s="26">
        <f>9%</f>
        <v>0.09</v>
      </c>
      <c r="I39" s="26">
        <f>9%</f>
        <v>0.09</v>
      </c>
      <c r="J39" s="26">
        <f>9%</f>
        <v>0.09</v>
      </c>
      <c r="K39" s="2"/>
    </row>
    <row r="40" spans="1:11" ht="15" customHeight="1">
      <c r="A40" s="15" t="s">
        <v>22</v>
      </c>
      <c r="B40" s="33">
        <v>3.8</v>
      </c>
      <c r="C40" s="33">
        <v>5.0999999999999996</v>
      </c>
      <c r="D40" s="33">
        <v>6.2</v>
      </c>
      <c r="E40" s="33">
        <v>6</v>
      </c>
      <c r="F40" s="33">
        <f>F33-F35</f>
        <v>13.894996544547247</v>
      </c>
      <c r="G40" s="33">
        <f>G33-G35</f>
        <v>23.054919283825853</v>
      </c>
      <c r="H40" s="33">
        <f>H33-H35</f>
        <v>34.680462164219406</v>
      </c>
      <c r="I40" s="33">
        <f>I33-I35</f>
        <v>50.201348914439464</v>
      </c>
      <c r="J40" s="33">
        <f>J33-J35</f>
        <v>70.989926784005533</v>
      </c>
      <c r="K40" s="4"/>
    </row>
    <row r="41" spans="1:11" ht="15" customHeight="1">
      <c r="A41" s="12"/>
      <c r="B41" s="12"/>
      <c r="C41" s="12"/>
      <c r="D41" s="12"/>
      <c r="E41" s="12"/>
      <c r="F41" s="12"/>
      <c r="G41" s="12"/>
      <c r="H41" s="12"/>
      <c r="I41" s="12"/>
      <c r="J41" s="12"/>
      <c r="K41" s="2"/>
    </row>
    <row r="42" spans="1:11" ht="15" customHeight="1">
      <c r="A42" s="12" t="s">
        <v>9</v>
      </c>
      <c r="B42" s="29">
        <v>1.7</v>
      </c>
      <c r="C42" s="29">
        <v>2.2000000000000002</v>
      </c>
      <c r="D42" s="29">
        <v>2.8</v>
      </c>
      <c r="E42" s="29">
        <v>3.5</v>
      </c>
      <c r="F42" s="29">
        <f>BS!E12*15%</f>
        <v>2.7450000000000001</v>
      </c>
      <c r="G42" s="29">
        <f>BS!F12*15%</f>
        <v>2.70825</v>
      </c>
      <c r="H42" s="29">
        <f>BS!G12*15%</f>
        <v>2.6020124999999998</v>
      </c>
      <c r="I42" s="29">
        <f>BS!H12*15%</f>
        <v>2.0617106249999999</v>
      </c>
      <c r="J42" s="29">
        <f>BS!I12*15%</f>
        <v>2.3524540312499997</v>
      </c>
      <c r="K42" s="2"/>
    </row>
    <row r="43" spans="1:11" ht="15" customHeight="1">
      <c r="A43" s="12" t="s">
        <v>23</v>
      </c>
      <c r="B43" s="12"/>
      <c r="C43" s="12"/>
      <c r="D43" s="12"/>
      <c r="E43" s="12"/>
      <c r="F43" s="26">
        <f>15%</f>
        <v>0.15</v>
      </c>
      <c r="G43" s="12"/>
      <c r="H43" s="12"/>
      <c r="I43" s="12"/>
      <c r="J43" s="12"/>
      <c r="K43" s="2"/>
    </row>
    <row r="44" spans="1:11" ht="15" customHeight="1">
      <c r="A44" s="12" t="s">
        <v>24</v>
      </c>
      <c r="B44" s="29">
        <v>0</v>
      </c>
      <c r="C44" s="29">
        <v>0</v>
      </c>
      <c r="D44" s="29">
        <v>0</v>
      </c>
      <c r="E44" s="29">
        <v>0.2</v>
      </c>
      <c r="F44" s="29">
        <f>F29*F45</f>
        <v>1.5034020393049539</v>
      </c>
      <c r="G44" s="29">
        <f>G29*G45</f>
        <v>1.8217627908057545</v>
      </c>
      <c r="H44" s="29">
        <f>H29*H45</f>
        <v>2.2257573140313474</v>
      </c>
      <c r="I44" s="57">
        <f>I29*I45</f>
        <v>2.7415993260657401</v>
      </c>
      <c r="J44" s="57">
        <f>J29*J45</f>
        <v>3.4044089912395288</v>
      </c>
      <c r="K44" s="2"/>
    </row>
    <row r="45" spans="1:11" ht="15" customHeight="1">
      <c r="A45" s="12" t="s">
        <v>25</v>
      </c>
      <c r="B45" s="12"/>
      <c r="C45" s="12"/>
      <c r="D45" s="12"/>
      <c r="E45" s="12"/>
      <c r="F45" s="26">
        <f>1%</f>
        <v>0.01</v>
      </c>
      <c r="G45" s="26">
        <f>1%</f>
        <v>0.01</v>
      </c>
      <c r="H45" s="26">
        <f>1%</f>
        <v>0.01</v>
      </c>
      <c r="I45" s="26">
        <f>1%</f>
        <v>0.01</v>
      </c>
      <c r="J45" s="26">
        <f>1%</f>
        <v>0.01</v>
      </c>
      <c r="K45" s="2"/>
    </row>
    <row r="46" spans="1:11" ht="15" customHeight="1">
      <c r="A46" s="15" t="s">
        <v>26</v>
      </c>
      <c r="B46" s="33">
        <v>2.09</v>
      </c>
      <c r="C46" s="33">
        <v>2.95</v>
      </c>
      <c r="D46" s="33">
        <v>3.41</v>
      </c>
      <c r="E46" s="33">
        <v>2.29</v>
      </c>
      <c r="F46" s="33">
        <f>F40-F42-F44</f>
        <v>9.6465945052422928</v>
      </c>
      <c r="G46" s="33">
        <f>G40-G42-G44</f>
        <v>18.524906493020101</v>
      </c>
      <c r="H46" s="33">
        <f>H40-H42-H44</f>
        <v>29.852692350188057</v>
      </c>
      <c r="I46" s="33">
        <f>I40-I42-I44</f>
        <v>45.398038963373722</v>
      </c>
      <c r="J46" s="33">
        <f>J40-J42-J44</f>
        <v>65.233063761515993</v>
      </c>
      <c r="K46" s="4"/>
    </row>
    <row r="47" spans="1:11" ht="15" customHeight="1">
      <c r="A47" s="12"/>
      <c r="B47" s="12"/>
      <c r="C47" s="12"/>
      <c r="D47" s="12"/>
      <c r="E47" s="12"/>
      <c r="F47" s="12"/>
      <c r="G47" s="12"/>
      <c r="H47" s="12"/>
      <c r="I47" s="12"/>
      <c r="J47" s="12"/>
      <c r="K47" s="2"/>
    </row>
    <row r="48" spans="1:11" ht="15" customHeight="1">
      <c r="A48" s="12" t="s">
        <v>27</v>
      </c>
      <c r="B48" s="29">
        <v>0.3</v>
      </c>
      <c r="C48" s="29">
        <v>0.5</v>
      </c>
      <c r="D48" s="29">
        <v>0.3</v>
      </c>
      <c r="E48" s="29">
        <v>0.8</v>
      </c>
      <c r="F48" s="58">
        <f>(BS!E22+BS!E23)*6%</f>
        <v>1.224</v>
      </c>
      <c r="G48" s="57">
        <f>(BS!F22+BS!F23)*IF(F46/F48&lt;6,7%,6%)</f>
        <v>1.8239999999999998</v>
      </c>
      <c r="H48" s="57">
        <f>(BS!G22+BS!G23)*IF(G46/G48&lt;6,7%,6%)</f>
        <v>1.6439999999999999</v>
      </c>
      <c r="I48" s="57">
        <f>(BS!H22+BS!H23)*IF(H46/H48&lt;6,7%,6%)</f>
        <v>1.1639999999999999</v>
      </c>
      <c r="J48" s="57">
        <f>(BS!I22+BS!I23)*IF(I46/I48&lt;6,7%,6%)</f>
        <v>0.98399999999999987</v>
      </c>
      <c r="K48" s="2"/>
    </row>
    <row r="49" spans="1:11" ht="15" customHeight="1">
      <c r="A49" s="15" t="s">
        <v>28</v>
      </c>
      <c r="B49" s="33">
        <v>1.8</v>
      </c>
      <c r="C49" s="33">
        <v>2.5</v>
      </c>
      <c r="D49" s="33">
        <v>3.1</v>
      </c>
      <c r="E49" s="33">
        <v>1.5</v>
      </c>
      <c r="F49" s="33">
        <f>F46-F48</f>
        <v>8.4225945052422926</v>
      </c>
      <c r="G49" s="33">
        <f>G46-G48</f>
        <v>16.700906493020099</v>
      </c>
      <c r="H49" s="33">
        <f>H46-H48</f>
        <v>28.208692350188059</v>
      </c>
      <c r="I49" s="33">
        <f>I46-I48</f>
        <v>44.23403896337372</v>
      </c>
      <c r="J49" s="33">
        <f>J46-J48</f>
        <v>64.249063761515998</v>
      </c>
      <c r="K49" s="4"/>
    </row>
    <row r="50" spans="1:11" ht="15" customHeight="1">
      <c r="A50" s="12"/>
      <c r="B50" s="12"/>
      <c r="C50" s="12"/>
      <c r="D50" s="12"/>
      <c r="E50" s="12"/>
      <c r="F50" s="12"/>
      <c r="G50" s="12"/>
      <c r="H50" s="12"/>
      <c r="I50" s="12"/>
      <c r="J50" s="12"/>
      <c r="K50" s="2"/>
    </row>
    <row r="51" spans="1:11" ht="15" customHeight="1">
      <c r="A51" s="12" t="s">
        <v>29</v>
      </c>
      <c r="B51" s="29">
        <v>0.6</v>
      </c>
      <c r="C51" s="29">
        <v>0.9</v>
      </c>
      <c r="D51" s="29">
        <v>1.2</v>
      </c>
      <c r="E51" s="29">
        <v>0.7</v>
      </c>
      <c r="F51" s="29">
        <f>F49*30%</f>
        <v>2.5267783515726876</v>
      </c>
      <c r="G51" s="29">
        <f>G49*30%</f>
        <v>5.0102719479060296</v>
      </c>
      <c r="H51" s="29">
        <f>H49*30%</f>
        <v>8.462607705056417</v>
      </c>
      <c r="I51" s="29">
        <f>I49*30%</f>
        <v>13.270211689012116</v>
      </c>
      <c r="J51" s="29">
        <f>J49*30%</f>
        <v>19.274719128454798</v>
      </c>
      <c r="K51" s="2"/>
    </row>
    <row r="52" spans="1:11" ht="15" customHeight="1">
      <c r="A52" s="12"/>
      <c r="B52" s="12"/>
      <c r="C52" s="12"/>
      <c r="D52" s="12"/>
      <c r="E52" s="12"/>
      <c r="F52" s="12"/>
      <c r="G52" s="12"/>
      <c r="H52" s="12"/>
      <c r="I52" s="12"/>
      <c r="J52" s="12"/>
      <c r="K52" s="2"/>
    </row>
    <row r="53" spans="1:11" ht="15" customHeight="1">
      <c r="A53" s="15" t="s">
        <v>30</v>
      </c>
      <c r="B53" s="33">
        <v>1.2</v>
      </c>
      <c r="C53" s="33">
        <v>1.6</v>
      </c>
      <c r="D53" s="33">
        <v>1.9</v>
      </c>
      <c r="E53" s="33">
        <v>0.8</v>
      </c>
      <c r="F53" s="33">
        <f>F49-F51</f>
        <v>5.895816153669605</v>
      </c>
      <c r="G53" s="33">
        <f>G49-G51</f>
        <v>11.690634545114069</v>
      </c>
      <c r="H53" s="33">
        <f>H49-H51</f>
        <v>19.746084645131642</v>
      </c>
      <c r="I53" s="33">
        <f>I49-I51</f>
        <v>30.963827274361606</v>
      </c>
      <c r="J53" s="33">
        <f>J49-J51</f>
        <v>44.9743446330612</v>
      </c>
      <c r="K53" s="4"/>
    </row>
    <row r="54" spans="1:11" ht="15" customHeight="1">
      <c r="A54" s="12" t="s">
        <v>31</v>
      </c>
      <c r="B54" s="12"/>
      <c r="C54" s="12"/>
      <c r="D54" s="12"/>
      <c r="E54" s="12"/>
      <c r="F54" s="29">
        <f>F53*5%</f>
        <v>0.29479080768348026</v>
      </c>
      <c r="G54" s="29">
        <f>G53*5%</f>
        <v>0.58453172725570346</v>
      </c>
      <c r="H54" s="29">
        <f>H53*5%</f>
        <v>0.98730423225658215</v>
      </c>
      <c r="I54" s="29">
        <f>I53*5%</f>
        <v>1.5481913637180804</v>
      </c>
      <c r="J54" s="29">
        <f>J53*5%</f>
        <v>2.2487172316530599</v>
      </c>
      <c r="K54" s="2"/>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3"/>
  <sheetViews>
    <sheetView zoomScale="83" zoomScaleNormal="83" workbookViewId="0">
      <selection activeCell="I18" sqref="I18"/>
    </sheetView>
  </sheetViews>
  <sheetFormatPr defaultColWidth="8.5703125" defaultRowHeight="15"/>
  <cols>
    <col min="1" max="1" width="38.5703125" customWidth="1"/>
    <col min="2" max="2" width="8.42578125" customWidth="1"/>
    <col min="3" max="3" width="6.7109375" customWidth="1"/>
  </cols>
  <sheetData>
    <row r="1" spans="1:10" ht="15.75" customHeight="1">
      <c r="A1" s="9" t="s">
        <v>0</v>
      </c>
      <c r="B1" s="59"/>
      <c r="C1" s="60"/>
      <c r="D1" s="60"/>
      <c r="E1" s="60"/>
      <c r="F1" s="60"/>
      <c r="G1" s="60"/>
      <c r="H1" s="60"/>
      <c r="I1" s="60"/>
      <c r="J1" s="61"/>
    </row>
    <row r="2" spans="1:10" ht="15.75" customHeight="1">
      <c r="A2" s="9" t="s">
        <v>32</v>
      </c>
      <c r="B2" s="62"/>
      <c r="C2" s="63"/>
      <c r="D2" s="63"/>
      <c r="E2" s="63"/>
      <c r="F2" s="63"/>
      <c r="G2" s="63"/>
      <c r="H2" s="63"/>
      <c r="I2" s="63"/>
      <c r="J2" s="64"/>
    </row>
    <row r="3" spans="1:10" ht="15" customHeight="1">
      <c r="A3" s="30" t="s">
        <v>2</v>
      </c>
      <c r="B3" s="30"/>
      <c r="C3" s="30"/>
      <c r="D3" s="12"/>
      <c r="E3" s="12"/>
      <c r="F3" s="12"/>
      <c r="G3" s="12"/>
      <c r="H3" s="12"/>
      <c r="I3" s="12"/>
      <c r="J3" s="12"/>
    </row>
    <row r="4" spans="1:10" ht="15" customHeight="1">
      <c r="A4" s="11"/>
      <c r="B4" s="11"/>
      <c r="C4" s="11"/>
      <c r="D4" s="15">
        <v>2023</v>
      </c>
      <c r="E4" s="15">
        <v>2024</v>
      </c>
      <c r="F4" s="15">
        <v>2025</v>
      </c>
      <c r="G4" s="15">
        <v>2026</v>
      </c>
      <c r="H4" s="15">
        <v>2027</v>
      </c>
      <c r="I4" s="15">
        <v>2028</v>
      </c>
      <c r="J4" s="15">
        <v>2029</v>
      </c>
    </row>
    <row r="5" spans="1:10" ht="15" customHeight="1">
      <c r="A5" s="11"/>
      <c r="B5" s="11"/>
      <c r="C5" s="11"/>
      <c r="D5" s="12"/>
      <c r="E5" s="12"/>
      <c r="F5" s="12"/>
      <c r="G5" s="12"/>
      <c r="H5" s="12"/>
      <c r="I5" s="12"/>
      <c r="J5" s="12"/>
    </row>
    <row r="6" spans="1:10" ht="15" customHeight="1">
      <c r="A6" s="32" t="s">
        <v>33</v>
      </c>
      <c r="B6" s="32"/>
      <c r="C6" s="32"/>
      <c r="D6" s="29">
        <v>0.4</v>
      </c>
      <c r="E6" s="29">
        <v>1</v>
      </c>
      <c r="F6" s="29">
        <f>CFS!E42</f>
        <v>6.1667634370445903</v>
      </c>
      <c r="G6" s="29">
        <f>CFS!F42</f>
        <v>7.7432125761415591</v>
      </c>
      <c r="H6" s="29">
        <f>CFS!G42</f>
        <v>19.833196034997528</v>
      </c>
      <c r="I6" s="29">
        <f>CFS!H42</f>
        <v>30.372704943529833</v>
      </c>
      <c r="J6" s="29">
        <f>CFS!I42</f>
        <v>51.493465487182178</v>
      </c>
    </row>
    <row r="7" spans="1:10" ht="15" customHeight="1">
      <c r="A7" s="32" t="s">
        <v>34</v>
      </c>
      <c r="B7" s="32"/>
      <c r="C7" s="32"/>
      <c r="D7" s="29">
        <v>5.5</v>
      </c>
      <c r="E7" s="29">
        <v>5.8</v>
      </c>
      <c r="F7" s="29">
        <f>INC!F29*(E7/INC!E29)</f>
        <v>6.9702092949390355</v>
      </c>
      <c r="G7" s="29">
        <f>INC!G29*(F7/INC!F29)</f>
        <v>8.4462223714415483</v>
      </c>
      <c r="H7" s="29">
        <f>INC!H29*(G7/INC!G29)</f>
        <v>10.319258530281227</v>
      </c>
      <c r="I7" s="29">
        <f>INC!I29*(H7/INC!H29)</f>
        <v>12.71085219119208</v>
      </c>
      <c r="J7" s="29">
        <f>INC!J29*(I7/INC!I29)</f>
        <v>15.783830654827552</v>
      </c>
    </row>
    <row r="8" spans="1:10" ht="15" customHeight="1">
      <c r="A8" s="32" t="s">
        <v>35</v>
      </c>
      <c r="B8" s="32"/>
      <c r="C8" s="32"/>
      <c r="D8" s="29">
        <v>28.5</v>
      </c>
      <c r="E8" s="29">
        <v>31.4</v>
      </c>
      <c r="F8" s="29">
        <f>INC!F29*(E8/INC!E29)</f>
        <v>37.73527101053201</v>
      </c>
      <c r="G8" s="29">
        <f>INC!G29*(F8/INC!F29)</f>
        <v>45.726100424700789</v>
      </c>
      <c r="H8" s="29">
        <f>INC!H29*(G8/INC!G29)</f>
        <v>55.866330663936289</v>
      </c>
      <c r="I8" s="29">
        <f>INC!I29*(H8/INC!H29)</f>
        <v>68.813923931626078</v>
      </c>
      <c r="J8" s="29">
        <f>INC!J29*(I8/INC!I29)</f>
        <v>85.45039354510088</v>
      </c>
    </row>
    <row r="9" spans="1:10" ht="15" customHeight="1">
      <c r="A9" s="32" t="s">
        <v>36</v>
      </c>
      <c r="B9" s="32"/>
      <c r="C9" s="32"/>
      <c r="D9" s="29">
        <v>4.5</v>
      </c>
      <c r="E9" s="29">
        <v>5.7</v>
      </c>
      <c r="F9" s="29">
        <f>INC!F29*(E9/INC!E29)</f>
        <v>6.8500332726125004</v>
      </c>
      <c r="G9" s="29">
        <f>INC!G29*(F9/INC!F29)</f>
        <v>8.3005978477960038</v>
      </c>
      <c r="H9" s="29">
        <f>INC!H29*(G9/INC!G29)</f>
        <v>10.141340279759136</v>
      </c>
      <c r="I9" s="29">
        <f>INC!I29*(H9/INC!H29)</f>
        <v>12.491699567206009</v>
      </c>
      <c r="J9" s="29">
        <f>INC!J29*(I9/INC!I29)</f>
        <v>15.511695643537422</v>
      </c>
    </row>
    <row r="10" spans="1:10" ht="15" customHeight="1">
      <c r="A10" s="14" t="s">
        <v>37</v>
      </c>
      <c r="B10" s="14"/>
      <c r="C10" s="14"/>
      <c r="D10" s="33">
        <v>38.9</v>
      </c>
      <c r="E10" s="5">
        <f>SUM(E6:E9)</f>
        <v>43.9</v>
      </c>
      <c r="F10" s="33">
        <f>SUM(F6:F9)</f>
        <v>57.722277015128135</v>
      </c>
      <c r="G10" s="33">
        <f>SUM(G6:G9)</f>
        <v>70.216133220079897</v>
      </c>
      <c r="H10" s="33">
        <f>SUM(H6:H9)</f>
        <v>96.160125508974176</v>
      </c>
      <c r="I10" s="33">
        <f>SUM(I6:I9)</f>
        <v>124.38918063355401</v>
      </c>
      <c r="J10" s="33">
        <f>SUM(J6:J9)</f>
        <v>168.23938533064805</v>
      </c>
    </row>
    <row r="11" spans="1:10" ht="15" customHeight="1">
      <c r="A11" s="11"/>
      <c r="B11" s="11"/>
      <c r="C11" s="11"/>
      <c r="D11" s="12"/>
      <c r="E11" s="12"/>
      <c r="F11" s="12"/>
      <c r="G11" s="12"/>
      <c r="H11" s="12"/>
      <c r="I11" s="12"/>
      <c r="J11" s="12"/>
    </row>
    <row r="12" spans="1:10" ht="15" customHeight="1">
      <c r="A12" s="32" t="s">
        <v>38</v>
      </c>
      <c r="B12" s="32"/>
      <c r="C12" s="32"/>
      <c r="D12" s="29">
        <v>17.100000000000001</v>
      </c>
      <c r="E12" s="29">
        <v>18.3</v>
      </c>
      <c r="F12" s="29">
        <f>E12-CFS!E20-INC!F42</f>
        <v>18.055</v>
      </c>
      <c r="G12" s="29">
        <f>F12-CFS!F20-INC!G42</f>
        <v>17.34675</v>
      </c>
      <c r="H12" s="29">
        <f>G12-CFS!G20-INC!H42</f>
        <v>13.744737499999999</v>
      </c>
      <c r="I12" s="29">
        <f>H12-CFS!H20-INC!I42</f>
        <v>15.683026874999999</v>
      </c>
      <c r="J12" s="29">
        <f>I12-CFS!I20-INC!J42</f>
        <v>18.830572843749998</v>
      </c>
    </row>
    <row r="13" spans="1:10" ht="15" customHeight="1">
      <c r="A13" s="32" t="s">
        <v>39</v>
      </c>
      <c r="B13" s="32"/>
      <c r="C13" s="32"/>
      <c r="D13" s="29">
        <v>3.6</v>
      </c>
      <c r="E13" s="29">
        <v>2.5</v>
      </c>
      <c r="F13" s="29">
        <f>E13</f>
        <v>2.5</v>
      </c>
      <c r="G13" s="29">
        <f>F13</f>
        <v>2.5</v>
      </c>
      <c r="H13" s="29">
        <f>G13</f>
        <v>2.5</v>
      </c>
      <c r="I13" s="29">
        <f>H13</f>
        <v>2.5</v>
      </c>
      <c r="J13" s="29">
        <f>I13</f>
        <v>2.5</v>
      </c>
    </row>
    <row r="14" spans="1:10" ht="15" customHeight="1">
      <c r="A14" s="32" t="s">
        <v>40</v>
      </c>
      <c r="B14" s="32"/>
      <c r="C14" s="32"/>
      <c r="D14" s="29" t="s">
        <v>13</v>
      </c>
      <c r="E14" s="29" t="s">
        <v>14</v>
      </c>
      <c r="F14" s="29">
        <f>5</f>
        <v>5</v>
      </c>
      <c r="G14" s="29">
        <f>F14</f>
        <v>5</v>
      </c>
      <c r="H14" s="29">
        <f>G14*(1-40%)</f>
        <v>3</v>
      </c>
      <c r="I14" s="29">
        <f>H14</f>
        <v>3</v>
      </c>
      <c r="J14" s="29">
        <f>0</f>
        <v>0</v>
      </c>
    </row>
    <row r="15" spans="1:10" ht="15.75" customHeight="1">
      <c r="A15" s="14" t="s">
        <v>41</v>
      </c>
      <c r="B15" s="14"/>
      <c r="C15" s="14"/>
      <c r="D15" s="33">
        <v>59.6</v>
      </c>
      <c r="E15" s="65">
        <f>SUM(E10,E12:E14)</f>
        <v>64.7</v>
      </c>
      <c r="F15" s="33">
        <f>SUM(F10,F12:F14)</f>
        <v>83.277277015128135</v>
      </c>
      <c r="G15" s="33">
        <f>SUM(G10,G12:G14)</f>
        <v>95.062883220079897</v>
      </c>
      <c r="H15" s="33">
        <f>SUM(H10,H12:H14)</f>
        <v>115.40486300897417</v>
      </c>
      <c r="I15" s="33">
        <f>SUM(I10,I12:I14)</f>
        <v>145.57220750855402</v>
      </c>
      <c r="J15" s="33">
        <f>SUM(J10,J12:J14)</f>
        <v>189.56995817439804</v>
      </c>
    </row>
    <row r="16" spans="1:10" ht="15.75" customHeight="1">
      <c r="A16" s="11"/>
      <c r="B16" s="11"/>
      <c r="C16" s="11"/>
      <c r="D16" s="12"/>
      <c r="E16" s="12"/>
      <c r="F16" s="12"/>
      <c r="G16" s="12"/>
      <c r="H16" s="12"/>
      <c r="I16" s="12"/>
      <c r="J16" s="12"/>
    </row>
    <row r="17" spans="1:10" ht="15" customHeight="1">
      <c r="A17" s="11"/>
      <c r="B17" s="11"/>
      <c r="C17" s="11"/>
      <c r="D17" s="12"/>
      <c r="E17" s="12"/>
      <c r="F17" s="12"/>
      <c r="G17" s="12"/>
      <c r="H17" s="12"/>
      <c r="I17" s="12"/>
      <c r="J17" s="12"/>
    </row>
    <row r="18" spans="1:10" ht="15" customHeight="1">
      <c r="A18" s="32" t="s">
        <v>42</v>
      </c>
      <c r="B18" s="32"/>
      <c r="C18" s="32"/>
      <c r="D18" s="29">
        <v>6.7</v>
      </c>
      <c r="E18" s="29">
        <v>4.8</v>
      </c>
      <c r="F18" s="29">
        <f>INC!F29*(E18/INC!E29)</f>
        <v>5.7684490716736834</v>
      </c>
      <c r="G18" s="29">
        <f>INC!G29*(F18/INC!F29)</f>
        <v>6.9899771349861082</v>
      </c>
      <c r="H18" s="29">
        <f>INC!H29*(G18/INC!G29)</f>
        <v>8.5400760250603245</v>
      </c>
      <c r="I18" s="29">
        <f>INC!I29*(H18/INC!H29)</f>
        <v>10.519325951331375</v>
      </c>
      <c r="J18" s="29">
        <f>INC!J29*(I18/INC!I29)</f>
        <v>13.062480541926249</v>
      </c>
    </row>
    <row r="19" spans="1:10" ht="15" customHeight="1">
      <c r="A19" s="32" t="s">
        <v>43</v>
      </c>
      <c r="B19" s="32"/>
      <c r="C19" s="32"/>
      <c r="D19" s="29">
        <v>4.0999999999999996</v>
      </c>
      <c r="E19" s="29">
        <v>2.5</v>
      </c>
      <c r="F19" s="29">
        <f>INC!F29*(E19/INC!E29)</f>
        <v>3.0044005581633773</v>
      </c>
      <c r="G19" s="29">
        <f>INC!G29*(F19/INC!F29)</f>
        <v>3.6406130911385985</v>
      </c>
      <c r="H19" s="29">
        <f>INC!H29*(G19/INC!G29)</f>
        <v>4.4479562630522533</v>
      </c>
      <c r="I19" s="29">
        <f>INC!I29*(H19/INC!H29)</f>
        <v>5.4788155996517585</v>
      </c>
      <c r="J19" s="29">
        <f>INC!J29*(I19/INC!I29)</f>
        <v>6.8033752822532554</v>
      </c>
    </row>
    <row r="20" spans="1:10" ht="15" customHeight="1">
      <c r="A20" s="14" t="s">
        <v>44</v>
      </c>
      <c r="B20" s="14"/>
      <c r="C20" s="14"/>
      <c r="D20" s="33">
        <v>10.8</v>
      </c>
      <c r="E20" s="33">
        <v>7.3</v>
      </c>
      <c r="F20" s="33">
        <f>SUM(F18:F19)</f>
        <v>8.7728496298370615</v>
      </c>
      <c r="G20" s="33">
        <f>SUM(G18:G19)</f>
        <v>10.630590226124706</v>
      </c>
      <c r="H20" s="33">
        <f>SUM(H18:H19)</f>
        <v>12.988032288112578</v>
      </c>
      <c r="I20" s="33">
        <f>SUM(I18:I19)</f>
        <v>15.998141550983133</v>
      </c>
      <c r="J20" s="33">
        <f>SUM(J18:J19)</f>
        <v>19.865855824179505</v>
      </c>
    </row>
    <row r="21" spans="1:10" ht="15" customHeight="1">
      <c r="A21" s="11"/>
      <c r="B21" s="11"/>
      <c r="C21" s="11"/>
      <c r="D21" s="12"/>
      <c r="E21" s="12"/>
      <c r="F21" s="12"/>
      <c r="G21" s="12"/>
      <c r="H21" s="12"/>
      <c r="I21" s="12"/>
      <c r="J21" s="12"/>
    </row>
    <row r="22" spans="1:10" ht="15" customHeight="1">
      <c r="A22" s="32" t="s">
        <v>45</v>
      </c>
      <c r="B22" s="32"/>
      <c r="C22" s="32"/>
      <c r="D22" s="29">
        <v>7.6</v>
      </c>
      <c r="E22" s="29">
        <v>15.4</v>
      </c>
      <c r="F22" s="29">
        <f>E22+10</f>
        <v>25.4</v>
      </c>
      <c r="G22" s="29">
        <f>F22-3</f>
        <v>22.4</v>
      </c>
      <c r="H22" s="29">
        <f>G22-3</f>
        <v>19.399999999999999</v>
      </c>
      <c r="I22" s="29">
        <f>H22-3</f>
        <v>16.399999999999999</v>
      </c>
      <c r="J22" s="29">
        <f>I22-3</f>
        <v>13.399999999999999</v>
      </c>
    </row>
    <row r="23" spans="1:10" ht="15" customHeight="1">
      <c r="A23" s="32" t="s">
        <v>46</v>
      </c>
      <c r="B23" s="32"/>
      <c r="C23" s="32"/>
      <c r="D23" s="29">
        <v>5</v>
      </c>
      <c r="E23" s="29">
        <v>5</v>
      </c>
      <c r="F23" s="29">
        <f>E23</f>
        <v>5</v>
      </c>
      <c r="G23" s="29">
        <f>F23</f>
        <v>5</v>
      </c>
      <c r="H23" s="29">
        <f>0</f>
        <v>0</v>
      </c>
      <c r="I23" s="29">
        <f>H23</f>
        <v>0</v>
      </c>
      <c r="J23" s="29">
        <f>I23</f>
        <v>0</v>
      </c>
    </row>
    <row r="24" spans="1:10" ht="15" customHeight="1">
      <c r="A24" s="32" t="s">
        <v>47</v>
      </c>
      <c r="B24" s="32"/>
      <c r="C24" s="32"/>
      <c r="D24" s="29">
        <v>0.2</v>
      </c>
      <c r="E24" s="29">
        <v>0.1</v>
      </c>
      <c r="F24" s="29">
        <f>E24</f>
        <v>0.1</v>
      </c>
      <c r="G24" s="29">
        <f>F24</f>
        <v>0.1</v>
      </c>
      <c r="H24" s="29">
        <f>G24</f>
        <v>0.1</v>
      </c>
      <c r="I24" s="29">
        <f>H24</f>
        <v>0.1</v>
      </c>
      <c r="J24" s="29">
        <f>I24</f>
        <v>0.1</v>
      </c>
    </row>
    <row r="25" spans="1:10" ht="15" customHeight="1">
      <c r="A25" s="32" t="s">
        <v>8</v>
      </c>
      <c r="B25" s="32"/>
      <c r="C25" s="32"/>
      <c r="D25" s="12"/>
      <c r="E25" s="29">
        <v>0.2</v>
      </c>
      <c r="F25" s="29">
        <f>E25+INC!F44</f>
        <v>1.7034020393049538</v>
      </c>
      <c r="G25" s="29">
        <f>F25+INC!G44</f>
        <v>3.5251648301107084</v>
      </c>
      <c r="H25" s="29">
        <f>G25+INC!H44</f>
        <v>5.7509221441420557</v>
      </c>
      <c r="I25" s="29">
        <f>H25+INC!I44-2</f>
        <v>6.4925214702077962</v>
      </c>
      <c r="J25" s="29">
        <f>I25+INC!J44-3</f>
        <v>6.8969304614473259</v>
      </c>
    </row>
    <row r="26" spans="1:10" ht="15" customHeight="1">
      <c r="A26" s="14" t="s">
        <v>48</v>
      </c>
      <c r="B26" s="14"/>
      <c r="C26" s="14"/>
      <c r="D26" s="33">
        <v>23.6</v>
      </c>
      <c r="E26" s="33">
        <v>28</v>
      </c>
      <c r="F26" s="33">
        <f>SUM(F20,F22:F25)</f>
        <v>40.976251669142016</v>
      </c>
      <c r="G26" s="33">
        <f>SUM(G20,G22:G25)</f>
        <v>41.655755056235414</v>
      </c>
      <c r="H26" s="33">
        <f>SUM(H20,H22:H25)</f>
        <v>38.23895443225463</v>
      </c>
      <c r="I26" s="33">
        <f>SUM(I20,I22:I25)</f>
        <v>38.990663021190933</v>
      </c>
      <c r="J26" s="33">
        <f>SUM(J20,J22:J25)</f>
        <v>40.262786285626831</v>
      </c>
    </row>
    <row r="27" spans="1:10" ht="15" customHeight="1">
      <c r="A27" s="11"/>
      <c r="B27" s="11"/>
      <c r="C27" s="11"/>
      <c r="D27" s="12"/>
      <c r="E27" s="12"/>
      <c r="F27" s="12"/>
      <c r="G27" s="12"/>
      <c r="H27" s="12"/>
      <c r="I27" s="12"/>
      <c r="J27" s="12"/>
    </row>
    <row r="28" spans="1:10" ht="15" customHeight="1">
      <c r="A28" s="11" t="s">
        <v>49</v>
      </c>
      <c r="B28" s="11"/>
      <c r="C28" s="11"/>
      <c r="D28" s="29">
        <v>36</v>
      </c>
      <c r="E28" s="29">
        <v>36.799999999999997</v>
      </c>
      <c r="F28" s="29">
        <f>E28+INC!F53-INC!F54+(E23-F23)</f>
        <v>42.40102534598612</v>
      </c>
      <c r="G28" s="29">
        <f>F28+INC!G53-INC!G54+(F23-G23)</f>
        <v>53.507128163844492</v>
      </c>
      <c r="H28" s="29">
        <f>G28+INC!H53-INC!H54+(G23-H23)</f>
        <v>77.265908576719553</v>
      </c>
      <c r="I28" s="29">
        <f>H28+INC!I53-INC!I54+(H23-I23)</f>
        <v>106.68154448736308</v>
      </c>
      <c r="J28" s="29">
        <f>I28+INC!J53-INC!J54+(I23-J23)</f>
        <v>149.40717188877124</v>
      </c>
    </row>
    <row r="29" spans="1:10" ht="15" customHeight="1">
      <c r="A29" s="11"/>
      <c r="B29" s="11"/>
      <c r="C29" s="11"/>
      <c r="D29" s="12"/>
      <c r="E29" s="12"/>
      <c r="F29" s="12"/>
      <c r="G29" s="12"/>
      <c r="H29" s="12"/>
      <c r="I29" s="12"/>
      <c r="J29" s="12"/>
    </row>
    <row r="30" spans="1:10" ht="15.75" customHeight="1">
      <c r="A30" s="14" t="s">
        <v>50</v>
      </c>
      <c r="B30" s="14"/>
      <c r="C30" s="14"/>
      <c r="D30" s="33">
        <v>59.6</v>
      </c>
      <c r="E30" s="33">
        <v>64.8</v>
      </c>
      <c r="F30" s="33">
        <f>F26+F28</f>
        <v>83.377277015128129</v>
      </c>
      <c r="G30" s="33">
        <f>G26+G28</f>
        <v>95.162883220079905</v>
      </c>
      <c r="H30" s="33">
        <f>H26+H28</f>
        <v>115.50486300897418</v>
      </c>
      <c r="I30" s="33">
        <f>I26+I28</f>
        <v>145.67220750855401</v>
      </c>
      <c r="J30" s="33">
        <f>J26+J28</f>
        <v>189.66995817439806</v>
      </c>
    </row>
    <row r="31" spans="1:10" ht="15.75" customHeight="1">
      <c r="A31" s="11"/>
      <c r="B31" s="11"/>
      <c r="C31" s="11"/>
      <c r="D31" s="12"/>
      <c r="E31" s="12"/>
      <c r="F31" s="12"/>
      <c r="G31" s="12"/>
      <c r="H31" s="12"/>
      <c r="I31" s="12"/>
      <c r="J31" s="12"/>
    </row>
    <row r="32" spans="1:10" ht="15.75" customHeight="1">
      <c r="A32" s="47" t="s">
        <v>51</v>
      </c>
      <c r="B32" s="47"/>
      <c r="C32" s="47"/>
      <c r="D32" s="48" t="s">
        <v>13</v>
      </c>
      <c r="E32" s="48" t="s">
        <v>14</v>
      </c>
      <c r="F32" s="49">
        <f>F15-F30</f>
        <v>-9.9999999999994316E-2</v>
      </c>
      <c r="G32" s="48">
        <f>G15-G30</f>
        <v>-0.10000000000000853</v>
      </c>
      <c r="H32" s="48">
        <f>H15-H30</f>
        <v>-0.10000000000000853</v>
      </c>
      <c r="I32" s="48">
        <f>I15-I30</f>
        <v>-9.9999999999994316E-2</v>
      </c>
      <c r="J32" s="48">
        <f>J15-J30</f>
        <v>-0.10000000000002274</v>
      </c>
    </row>
    <row r="33" spans="1:10" ht="15" customHeight="1">
      <c r="A33" s="2"/>
      <c r="B33" s="1"/>
      <c r="C33" s="1"/>
      <c r="D33" s="2"/>
      <c r="E33" s="2"/>
      <c r="F33" s="2"/>
      <c r="G33" s="2"/>
      <c r="H33" s="2"/>
      <c r="I33" s="2"/>
      <c r="J33" s="2"/>
    </row>
  </sheetData>
  <mergeCells count="32">
    <mergeCell ref="A31:C31"/>
    <mergeCell ref="A32:C32"/>
    <mergeCell ref="B33:C33"/>
    <mergeCell ref="B1:J2"/>
    <mergeCell ref="A26:C26"/>
    <mergeCell ref="A27:C27"/>
    <mergeCell ref="A28:C28"/>
    <mergeCell ref="A29:C29"/>
    <mergeCell ref="A30:C30"/>
    <mergeCell ref="A21:C21"/>
    <mergeCell ref="A22:C22"/>
    <mergeCell ref="A23:C23"/>
    <mergeCell ref="A24:C24"/>
    <mergeCell ref="A25:C25"/>
    <mergeCell ref="A16:C16"/>
    <mergeCell ref="A17:C17"/>
    <mergeCell ref="A18:C18"/>
    <mergeCell ref="A19:C19"/>
    <mergeCell ref="A20:C20"/>
    <mergeCell ref="A11:C11"/>
    <mergeCell ref="A12:C12"/>
    <mergeCell ref="A13:C13"/>
    <mergeCell ref="A14:C14"/>
    <mergeCell ref="A15:C15"/>
    <mergeCell ref="A6:C6"/>
    <mergeCell ref="A7:C7"/>
    <mergeCell ref="A8:C8"/>
    <mergeCell ref="A9:C9"/>
    <mergeCell ref="A10:C10"/>
    <mergeCell ref="A3:C3"/>
    <mergeCell ref="A4:C4"/>
    <mergeCell ref="A5:C5"/>
  </mergeCell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9"/>
  <sheetViews>
    <sheetView topLeftCell="A14" zoomScale="86" zoomScaleNormal="86" workbookViewId="0">
      <selection activeCell="N31" sqref="N31"/>
    </sheetView>
  </sheetViews>
  <sheetFormatPr defaultColWidth="8.5703125" defaultRowHeight="15"/>
  <cols>
    <col min="1" max="1" width="23.140625" customWidth="1"/>
    <col min="2" max="3" width="5.28515625" customWidth="1"/>
    <col min="4" max="4" width="9.140625" customWidth="1"/>
  </cols>
  <sheetData>
    <row r="1" spans="1:9" ht="15.75" customHeight="1">
      <c r="A1" s="9" t="s">
        <v>0</v>
      </c>
      <c r="B1" s="10"/>
      <c r="C1" s="10"/>
      <c r="D1" s="10"/>
      <c r="E1" s="38"/>
      <c r="F1" s="38"/>
      <c r="G1" s="12"/>
      <c r="H1" s="12"/>
      <c r="I1" s="12"/>
    </row>
    <row r="2" spans="1:9" ht="15.75" customHeight="1">
      <c r="A2" s="9" t="s">
        <v>52</v>
      </c>
      <c r="B2" s="10"/>
      <c r="C2" s="10"/>
      <c r="D2" s="10"/>
      <c r="E2" s="38"/>
      <c r="F2" s="38"/>
      <c r="G2" s="12"/>
      <c r="H2" s="12"/>
      <c r="I2" s="12"/>
    </row>
    <row r="3" spans="1:9" ht="15" customHeight="1">
      <c r="A3" s="30" t="s">
        <v>2</v>
      </c>
      <c r="B3" s="30"/>
      <c r="C3" s="30"/>
      <c r="D3" s="30"/>
      <c r="E3" s="38"/>
      <c r="F3" s="38"/>
      <c r="G3" s="12"/>
      <c r="H3" s="12"/>
      <c r="I3" s="12"/>
    </row>
    <row r="4" spans="1:9" ht="15" customHeight="1">
      <c r="A4" s="11"/>
      <c r="B4" s="11"/>
      <c r="C4" s="11"/>
      <c r="D4" s="11"/>
      <c r="E4" s="40">
        <v>2025</v>
      </c>
      <c r="F4" s="15">
        <v>2026</v>
      </c>
      <c r="G4" s="15">
        <v>2027</v>
      </c>
      <c r="H4" s="15">
        <v>2028</v>
      </c>
      <c r="I4" s="15">
        <v>2029</v>
      </c>
    </row>
    <row r="5" spans="1:9" ht="15" customHeight="1">
      <c r="A5" s="11"/>
      <c r="B5" s="11"/>
      <c r="C5" s="11"/>
      <c r="D5" s="11"/>
      <c r="E5" s="38"/>
      <c r="F5" s="12"/>
      <c r="G5" s="12"/>
      <c r="H5" s="12"/>
      <c r="I5" s="12"/>
    </row>
    <row r="6" spans="1:9" ht="15" customHeight="1">
      <c r="A6" s="31" t="s">
        <v>53</v>
      </c>
      <c r="B6" s="31"/>
      <c r="C6" s="31"/>
      <c r="D6" s="31"/>
      <c r="E6" s="38"/>
      <c r="F6" s="12"/>
      <c r="G6" s="12"/>
      <c r="H6" s="12"/>
      <c r="I6" s="12"/>
    </row>
    <row r="7" spans="1:9" ht="15" customHeight="1">
      <c r="A7" s="11" t="s">
        <v>30</v>
      </c>
      <c r="B7" s="11"/>
      <c r="C7" s="11"/>
      <c r="D7" s="11"/>
      <c r="E7" s="29">
        <f>INC!F53</f>
        <v>5.895816153669605</v>
      </c>
      <c r="F7" s="29">
        <f>INC!G53</f>
        <v>11.690634545114069</v>
      </c>
      <c r="G7" s="29">
        <f>INC!H53</f>
        <v>19.746084645131642</v>
      </c>
      <c r="H7" s="29">
        <f>INC!I53</f>
        <v>30.963827274361606</v>
      </c>
      <c r="I7" s="29">
        <f>INC!J53</f>
        <v>44.9743446330612</v>
      </c>
    </row>
    <row r="8" spans="1:9" ht="15" customHeight="1">
      <c r="A8" s="11" t="s">
        <v>54</v>
      </c>
      <c r="B8" s="11"/>
      <c r="C8" s="11"/>
      <c r="D8" s="11"/>
      <c r="E8" s="29">
        <f>INC!F42</f>
        <v>2.7450000000000001</v>
      </c>
      <c r="F8" s="29">
        <f>INC!G42</f>
        <v>2.70825</v>
      </c>
      <c r="G8" s="29">
        <f>INC!H42</f>
        <v>2.6020124999999998</v>
      </c>
      <c r="H8" s="29">
        <f>INC!I42</f>
        <v>2.0617106249999999</v>
      </c>
      <c r="I8" s="29">
        <f>INC!J42</f>
        <v>2.3524540312499997</v>
      </c>
    </row>
    <row r="9" spans="1:9" ht="15" customHeight="1">
      <c r="A9" s="32" t="s">
        <v>55</v>
      </c>
      <c r="B9" s="32"/>
      <c r="C9" s="32"/>
      <c r="D9" s="32"/>
      <c r="E9" s="29">
        <f>INC!F44</f>
        <v>1.5034020393049539</v>
      </c>
      <c r="F9" s="29">
        <f>INC!G44</f>
        <v>1.8217627908057545</v>
      </c>
      <c r="G9" s="29">
        <f>INC!H44</f>
        <v>2.2257573140313474</v>
      </c>
      <c r="H9" s="29">
        <f>INC!I44</f>
        <v>2.7415993260657401</v>
      </c>
      <c r="I9" s="29">
        <f>INC!J44</f>
        <v>3.4044089912395288</v>
      </c>
    </row>
    <row r="10" spans="1:9" ht="15" customHeight="1">
      <c r="A10" s="32" t="s">
        <v>56</v>
      </c>
      <c r="B10" s="32"/>
      <c r="C10" s="32"/>
      <c r="D10" s="32"/>
      <c r="E10" s="29">
        <f>0</f>
        <v>0</v>
      </c>
      <c r="F10" s="29">
        <f>0</f>
        <v>0</v>
      </c>
      <c r="G10" s="29">
        <f>0</f>
        <v>0</v>
      </c>
      <c r="H10" s="29">
        <f>-2</f>
        <v>-2</v>
      </c>
      <c r="I10" s="29">
        <f>-3</f>
        <v>-3</v>
      </c>
    </row>
    <row r="11" spans="1:9" ht="15" customHeight="1">
      <c r="A11" s="32" t="s">
        <v>57</v>
      </c>
      <c r="B11" s="32"/>
      <c r="C11" s="32"/>
      <c r="D11" s="32"/>
      <c r="E11" s="29">
        <f>BS!E7-BS!F7</f>
        <v>-1.1702092949390357</v>
      </c>
      <c r="F11" s="29">
        <f>BS!F7-BS!G7</f>
        <v>-1.4760130765025128</v>
      </c>
      <c r="G11" s="29">
        <f>BS!G7-BS!H7</f>
        <v>-1.8730361588396782</v>
      </c>
      <c r="H11" s="29">
        <f>BS!H7-BS!I7</f>
        <v>-2.3915936609108535</v>
      </c>
      <c r="I11" s="29">
        <f>BS!I7-BS!J7</f>
        <v>-3.0729784636354722</v>
      </c>
    </row>
    <row r="12" spans="1:9" ht="15" customHeight="1">
      <c r="A12" s="32" t="s">
        <v>58</v>
      </c>
      <c r="B12" s="32"/>
      <c r="C12" s="32"/>
      <c r="D12" s="32"/>
      <c r="E12" s="29">
        <f>BS!E8-BS!F8</f>
        <v>-6.3352710105320114</v>
      </c>
      <c r="F12" s="29">
        <f>BS!F8-BS!G8</f>
        <v>-7.990829414168779</v>
      </c>
      <c r="G12" s="29">
        <f>BS!G8-BS!H8</f>
        <v>-10.1402302392355</v>
      </c>
      <c r="H12" s="29">
        <f>BS!H8-BS!I8</f>
        <v>-12.94759326768979</v>
      </c>
      <c r="I12" s="29">
        <f>BS!I8-BS!J8</f>
        <v>-16.636469613474802</v>
      </c>
    </row>
    <row r="13" spans="1:9" ht="15" customHeight="1">
      <c r="A13" s="32" t="s">
        <v>59</v>
      </c>
      <c r="B13" s="32"/>
      <c r="C13" s="32"/>
      <c r="D13" s="32"/>
      <c r="E13" s="29">
        <f>BS!E9-BS!F9</f>
        <v>-1.1500332726125002</v>
      </c>
      <c r="F13" s="29">
        <f>BS!F9-BS!G9</f>
        <v>-1.4505645751835035</v>
      </c>
      <c r="G13" s="29">
        <f>BS!G9-BS!H9</f>
        <v>-1.8407424319631325</v>
      </c>
      <c r="H13" s="29">
        <f>BS!H9-BS!I9</f>
        <v>-2.3503592874468726</v>
      </c>
      <c r="I13" s="29">
        <f>BS!I9-BS!J9</f>
        <v>-3.0199960763314131</v>
      </c>
    </row>
    <row r="14" spans="1:9" ht="15" customHeight="1">
      <c r="A14" s="32" t="s">
        <v>60</v>
      </c>
      <c r="B14" s="32"/>
      <c r="C14" s="32"/>
      <c r="D14" s="32"/>
      <c r="E14" s="29">
        <f>BS!F18-BS!E18</f>
        <v>0.96844907167368355</v>
      </c>
      <c r="F14" s="29">
        <f>BS!G18-BS!F18</f>
        <v>1.2215280633124248</v>
      </c>
      <c r="G14" s="29">
        <f>BS!H18-BS!G18</f>
        <v>1.5500988900742163</v>
      </c>
      <c r="H14" s="29">
        <f>BS!I18-BS!H18</f>
        <v>1.9792499262710503</v>
      </c>
      <c r="I14" s="29">
        <f>BS!J18-BS!I18</f>
        <v>2.5431545905948738</v>
      </c>
    </row>
    <row r="15" spans="1:9" ht="15" customHeight="1">
      <c r="A15" s="32" t="s">
        <v>61</v>
      </c>
      <c r="B15" s="32"/>
      <c r="C15" s="32"/>
      <c r="D15" s="32"/>
      <c r="E15" s="33">
        <f>BS!F19-BS!E19</f>
        <v>0.50440055816337726</v>
      </c>
      <c r="F15" s="33">
        <f>BS!G19-BS!F19</f>
        <v>0.63621253297522129</v>
      </c>
      <c r="G15" s="33">
        <f>BS!H19-BS!G19</f>
        <v>0.80734317191365479</v>
      </c>
      <c r="H15" s="33">
        <f>BS!I19-BS!H19</f>
        <v>1.0308593365995051</v>
      </c>
      <c r="I15" s="33">
        <f>BS!J19-BS!I19</f>
        <v>1.3245596826014969</v>
      </c>
    </row>
    <row r="16" spans="1:9" ht="15" customHeight="1">
      <c r="A16" s="11"/>
      <c r="B16" s="11"/>
      <c r="C16" s="11"/>
      <c r="D16" s="11"/>
      <c r="E16" s="12"/>
      <c r="F16" s="12"/>
      <c r="G16" s="12"/>
      <c r="H16" s="12"/>
      <c r="I16" s="12"/>
    </row>
    <row r="17" spans="1:9" ht="15" customHeight="1">
      <c r="A17" s="14" t="s">
        <v>53</v>
      </c>
      <c r="B17" s="14"/>
      <c r="C17" s="14"/>
      <c r="D17" s="14"/>
      <c r="E17" s="33">
        <f>SUM(E7:E15)</f>
        <v>2.9615542447280703</v>
      </c>
      <c r="F17" s="33">
        <f>SUM(F7:F15)</f>
        <v>7.1609808663526717</v>
      </c>
      <c r="G17" s="33">
        <f>SUM(G7:G15)</f>
        <v>13.077287691112552</v>
      </c>
      <c r="H17" s="33">
        <f>SUM(H7:H15)</f>
        <v>19.087700272250387</v>
      </c>
      <c r="I17" s="33">
        <f>SUM(I7:I15)</f>
        <v>28.869477775305409</v>
      </c>
    </row>
    <row r="18" spans="1:9" ht="15" customHeight="1">
      <c r="A18" s="11"/>
      <c r="B18" s="11"/>
      <c r="C18" s="11"/>
      <c r="D18" s="11"/>
      <c r="E18" s="38"/>
      <c r="F18" s="12"/>
      <c r="G18" s="12"/>
      <c r="H18" s="12"/>
      <c r="I18" s="12"/>
    </row>
    <row r="19" spans="1:9" ht="15" customHeight="1">
      <c r="A19" s="31" t="s">
        <v>62</v>
      </c>
      <c r="B19" s="31"/>
      <c r="C19" s="31"/>
      <c r="D19" s="31"/>
      <c r="E19" s="38"/>
      <c r="F19" s="12"/>
      <c r="G19" s="12"/>
      <c r="H19" s="12"/>
      <c r="I19" s="12"/>
    </row>
    <row r="20" spans="1:9" ht="15" customHeight="1">
      <c r="A20" s="11" t="s">
        <v>63</v>
      </c>
      <c r="B20" s="11"/>
      <c r="C20" s="11"/>
      <c r="D20" s="11"/>
      <c r="E20" s="34">
        <v>-2.5</v>
      </c>
      <c r="F20" s="35">
        <v>-2</v>
      </c>
      <c r="G20" s="35">
        <v>1</v>
      </c>
      <c r="H20" s="35">
        <v>-4</v>
      </c>
      <c r="I20" s="35">
        <v>-5.5</v>
      </c>
    </row>
    <row r="21" spans="1:9" ht="15" customHeight="1">
      <c r="A21" s="11" t="s">
        <v>64</v>
      </c>
      <c r="B21" s="11"/>
      <c r="C21" s="11"/>
      <c r="D21" s="11"/>
      <c r="E21" s="34">
        <f>-BS!F14</f>
        <v>-5</v>
      </c>
      <c r="F21" s="35">
        <f>BS!F14-BS!G14</f>
        <v>0</v>
      </c>
      <c r="G21" s="35">
        <f>BS!G14-BS!H14</f>
        <v>2</v>
      </c>
      <c r="H21" s="35">
        <f>BS!H14-BS!I14</f>
        <v>0</v>
      </c>
      <c r="I21" s="35">
        <f>BS!I14-BS!J14</f>
        <v>3</v>
      </c>
    </row>
    <row r="22" spans="1:9" ht="15" customHeight="1">
      <c r="A22" s="11"/>
      <c r="B22" s="11"/>
      <c r="C22" s="11"/>
      <c r="D22" s="11"/>
      <c r="E22" s="39"/>
      <c r="F22" s="16"/>
      <c r="G22" s="16"/>
      <c r="H22" s="16"/>
      <c r="I22" s="16"/>
    </row>
    <row r="23" spans="1:9" ht="15" customHeight="1">
      <c r="A23" s="11"/>
      <c r="B23" s="11"/>
      <c r="C23" s="11"/>
      <c r="D23" s="11"/>
      <c r="E23" s="39"/>
      <c r="F23" s="16"/>
      <c r="G23" s="16"/>
      <c r="H23" s="16"/>
      <c r="I23" s="16"/>
    </row>
    <row r="24" spans="1:9" ht="15" customHeight="1">
      <c r="A24" s="11"/>
      <c r="B24" s="11"/>
      <c r="C24" s="11"/>
      <c r="D24" s="11"/>
      <c r="E24" s="39"/>
      <c r="F24" s="16"/>
      <c r="G24" s="16"/>
      <c r="H24" s="16"/>
      <c r="I24" s="16"/>
    </row>
    <row r="25" spans="1:9" ht="15" customHeight="1">
      <c r="A25" s="11"/>
      <c r="B25" s="11"/>
      <c r="C25" s="11"/>
      <c r="D25" s="11"/>
      <c r="E25" s="38"/>
      <c r="F25" s="12"/>
      <c r="G25" s="12"/>
      <c r="H25" s="12"/>
      <c r="I25" s="12"/>
    </row>
    <row r="26" spans="1:9" ht="15" customHeight="1">
      <c r="A26" s="14" t="s">
        <v>62</v>
      </c>
      <c r="B26" s="14"/>
      <c r="C26" s="14"/>
      <c r="D26" s="14"/>
      <c r="E26" s="33">
        <f>SUM(E20:E21)</f>
        <v>-7.5</v>
      </c>
      <c r="F26" s="33">
        <f>SUM(F20:F21)</f>
        <v>-2</v>
      </c>
      <c r="G26" s="33">
        <f>SUM(G20:G21)</f>
        <v>3</v>
      </c>
      <c r="H26" s="33">
        <f>SUM(H20:H21)</f>
        <v>-4</v>
      </c>
      <c r="I26" s="33">
        <f>SUM(I20:I21)</f>
        <v>-2.5</v>
      </c>
    </row>
    <row r="27" spans="1:9" ht="15" customHeight="1">
      <c r="A27" s="11"/>
      <c r="B27" s="11"/>
      <c r="C27" s="11"/>
      <c r="D27" s="11"/>
      <c r="E27" s="12"/>
      <c r="F27" s="12"/>
      <c r="G27" s="12"/>
      <c r="H27" s="12"/>
      <c r="I27" s="12"/>
    </row>
    <row r="28" spans="1:9" ht="15" customHeight="1">
      <c r="A28" s="11"/>
      <c r="B28" s="11"/>
      <c r="C28" s="11"/>
      <c r="D28" s="11"/>
      <c r="E28" s="12"/>
      <c r="F28" s="12"/>
      <c r="G28" s="12"/>
      <c r="H28" s="12"/>
      <c r="I28" s="12"/>
    </row>
    <row r="29" spans="1:9" ht="15" customHeight="1">
      <c r="A29" s="31" t="s">
        <v>65</v>
      </c>
      <c r="B29" s="31"/>
      <c r="C29" s="31"/>
      <c r="D29" s="31"/>
      <c r="E29" s="12"/>
      <c r="F29" s="12"/>
      <c r="G29" s="12"/>
      <c r="H29" s="12"/>
      <c r="I29" s="12"/>
    </row>
    <row r="30" spans="1:9" ht="15" customHeight="1">
      <c r="A30" s="32" t="s">
        <v>45</v>
      </c>
      <c r="B30" s="32"/>
      <c r="C30" s="32"/>
      <c r="D30" s="32"/>
      <c r="E30" s="37">
        <f>10</f>
        <v>10</v>
      </c>
      <c r="F30" s="37">
        <f>0</f>
        <v>0</v>
      </c>
      <c r="G30" s="37">
        <f>0</f>
        <v>0</v>
      </c>
      <c r="H30" s="37">
        <f>0</f>
        <v>0</v>
      </c>
      <c r="I30" s="37">
        <f>0</f>
        <v>0</v>
      </c>
    </row>
    <row r="31" spans="1:9" ht="15" customHeight="1">
      <c r="A31" s="11" t="s">
        <v>66</v>
      </c>
      <c r="B31" s="11"/>
      <c r="C31" s="11"/>
      <c r="D31" s="11"/>
      <c r="E31" s="37">
        <f>0</f>
        <v>0</v>
      </c>
      <c r="F31" s="29">
        <f>-3</f>
        <v>-3</v>
      </c>
      <c r="G31" s="29">
        <f>-3</f>
        <v>-3</v>
      </c>
      <c r="H31" s="29">
        <f>-3</f>
        <v>-3</v>
      </c>
      <c r="I31" s="29">
        <f>-3</f>
        <v>-3</v>
      </c>
    </row>
    <row r="32" spans="1:9" ht="15" customHeight="1">
      <c r="A32" s="11" t="s">
        <v>67</v>
      </c>
      <c r="B32" s="11"/>
      <c r="C32" s="11"/>
      <c r="D32" s="11"/>
      <c r="E32" s="37">
        <f>-INC!F54</f>
        <v>-0.29479080768348026</v>
      </c>
      <c r="F32" s="37">
        <f>-INC!G54</f>
        <v>-0.58453172725570346</v>
      </c>
      <c r="G32" s="37">
        <f>-INC!H54</f>
        <v>-0.98730423225658215</v>
      </c>
      <c r="H32" s="37">
        <f>-INC!I54</f>
        <v>-1.5481913637180804</v>
      </c>
      <c r="I32" s="37">
        <f>-INC!J54</f>
        <v>-2.2487172316530599</v>
      </c>
    </row>
    <row r="33" spans="1:10">
      <c r="A33" s="41"/>
      <c r="B33" s="42"/>
      <c r="C33" s="42"/>
      <c r="D33" s="43"/>
      <c r="E33" s="36"/>
      <c r="F33" s="12"/>
      <c r="G33" s="12"/>
      <c r="H33" s="12"/>
      <c r="I33" s="12"/>
    </row>
    <row r="34" spans="1:10">
      <c r="A34" s="41"/>
      <c r="B34" s="42"/>
      <c r="C34" s="42"/>
      <c r="D34" s="43"/>
      <c r="E34" s="36"/>
      <c r="F34" s="12"/>
      <c r="G34" s="12"/>
      <c r="H34" s="12"/>
      <c r="I34" s="12"/>
    </row>
    <row r="35" spans="1:10">
      <c r="A35" s="41"/>
      <c r="B35" s="42"/>
      <c r="C35" s="42"/>
      <c r="D35" s="43"/>
      <c r="E35" s="36"/>
      <c r="F35" s="12"/>
      <c r="G35" s="12"/>
      <c r="H35" s="12"/>
      <c r="I35" s="12"/>
    </row>
    <row r="36" spans="1:10">
      <c r="A36" s="44" t="s">
        <v>65</v>
      </c>
      <c r="B36" s="45"/>
      <c r="C36" s="45"/>
      <c r="D36" s="46"/>
      <c r="E36" s="33">
        <f>SUM(E30:E32)</f>
        <v>9.70520919231652</v>
      </c>
      <c r="F36" s="33">
        <f>SUM(F30:F32)</f>
        <v>-3.5845317272557033</v>
      </c>
      <c r="G36" s="33">
        <f>SUM(G30:G32)</f>
        <v>-3.9873042322565819</v>
      </c>
      <c r="H36" s="33">
        <f>SUM(H30:H32)</f>
        <v>-4.5481913637180806</v>
      </c>
      <c r="I36" s="33">
        <f>SUM(I30:I32)</f>
        <v>-5.2487172316530604</v>
      </c>
    </row>
    <row r="37" spans="1:10">
      <c r="A37" s="41"/>
      <c r="B37" s="42"/>
      <c r="C37" s="42"/>
      <c r="D37" s="43"/>
      <c r="E37" s="38"/>
      <c r="F37" s="12"/>
      <c r="G37" s="12"/>
      <c r="H37" s="12"/>
      <c r="I37" s="12"/>
    </row>
    <row r="38" spans="1:10">
      <c r="A38" s="41"/>
      <c r="B38" s="42"/>
      <c r="C38" s="42"/>
      <c r="D38" s="43"/>
      <c r="E38" s="38"/>
      <c r="F38" s="12"/>
      <c r="G38" s="12"/>
      <c r="H38" s="12"/>
      <c r="I38" s="12"/>
    </row>
    <row r="39" spans="1:10" ht="15.75" customHeight="1">
      <c r="A39" s="44" t="s">
        <v>68</v>
      </c>
      <c r="B39" s="45"/>
      <c r="C39" s="45"/>
      <c r="D39" s="46"/>
      <c r="E39" s="29">
        <f>E17+E26+E36</f>
        <v>5.1667634370445903</v>
      </c>
      <c r="F39" s="29">
        <f>F17+F26+F36</f>
        <v>1.5764491390969684</v>
      </c>
      <c r="G39" s="29">
        <f>G17+G26+G36</f>
        <v>12.08998345885597</v>
      </c>
      <c r="H39" s="29">
        <f>H17+H26+H36</f>
        <v>10.539508908532307</v>
      </c>
      <c r="I39" s="29">
        <f>I17+I26+I36</f>
        <v>21.120760543652349</v>
      </c>
    </row>
    <row r="40" spans="1:10" ht="15.75" customHeight="1">
      <c r="A40" s="41"/>
      <c r="B40" s="42"/>
      <c r="C40" s="42"/>
      <c r="D40" s="43"/>
      <c r="E40" s="38"/>
      <c r="F40" s="12"/>
      <c r="G40" s="12"/>
      <c r="H40" s="12"/>
      <c r="I40" s="12"/>
    </row>
    <row r="41" spans="1:10">
      <c r="A41" s="41" t="s">
        <v>69</v>
      </c>
      <c r="B41" s="42"/>
      <c r="C41" s="42"/>
      <c r="D41" s="43"/>
      <c r="E41" s="29">
        <f>BS!E6</f>
        <v>1</v>
      </c>
      <c r="F41" s="29">
        <f>E42</f>
        <v>6.1667634370445903</v>
      </c>
      <c r="G41" s="29">
        <f>F42</f>
        <v>7.7432125761415591</v>
      </c>
      <c r="H41" s="29">
        <f>G42</f>
        <v>19.833196034997528</v>
      </c>
      <c r="I41" s="29">
        <f>H42</f>
        <v>30.372704943529833</v>
      </c>
    </row>
    <row r="42" spans="1:10">
      <c r="A42" s="41" t="s">
        <v>70</v>
      </c>
      <c r="B42" s="42"/>
      <c r="C42" s="42"/>
      <c r="D42" s="43"/>
      <c r="E42" s="33">
        <f>E41+E39</f>
        <v>6.1667634370445903</v>
      </c>
      <c r="F42" s="33">
        <f>F41+F39</f>
        <v>7.7432125761415591</v>
      </c>
      <c r="G42" s="33">
        <f>G41+G39</f>
        <v>19.833196034997528</v>
      </c>
      <c r="H42" s="33">
        <f>H41+H39</f>
        <v>30.372704943529833</v>
      </c>
      <c r="I42" s="33">
        <f>I41+I39</f>
        <v>51.493465487182178</v>
      </c>
    </row>
    <row r="43" spans="1:10" ht="15" customHeight="1">
      <c r="A43" s="2"/>
      <c r="B43" s="1"/>
      <c r="C43" s="1"/>
      <c r="D43" s="1"/>
      <c r="E43" s="1"/>
      <c r="F43" s="1"/>
      <c r="G43" s="2"/>
      <c r="H43" s="2"/>
      <c r="I43" s="2"/>
      <c r="J43" s="2"/>
    </row>
    <row r="44" spans="1:10" ht="15" customHeight="1">
      <c r="A44" s="2"/>
      <c r="B44" s="1"/>
      <c r="C44" s="1"/>
      <c r="D44" s="1"/>
      <c r="E44" s="1"/>
      <c r="F44" s="1"/>
      <c r="G44" s="2"/>
      <c r="H44" s="2"/>
      <c r="I44" s="2"/>
      <c r="J44" s="2"/>
    </row>
    <row r="45" spans="1:10" ht="15" customHeight="1">
      <c r="A45" s="2"/>
      <c r="B45" s="1"/>
      <c r="C45" s="1"/>
      <c r="D45" s="1"/>
      <c r="E45" s="1"/>
      <c r="F45" s="1"/>
      <c r="G45" s="2"/>
      <c r="H45" s="2"/>
      <c r="I45" s="2"/>
      <c r="J45" s="2"/>
    </row>
    <row r="46" spans="1:10" ht="15" customHeight="1">
      <c r="A46" s="2"/>
      <c r="B46" s="1"/>
      <c r="C46" s="1"/>
      <c r="D46" s="1"/>
      <c r="E46" s="1"/>
      <c r="F46" s="1"/>
      <c r="G46" s="2"/>
      <c r="H46" s="2"/>
      <c r="I46" s="2"/>
      <c r="J46" s="2"/>
    </row>
    <row r="47" spans="1:10" ht="15" customHeight="1">
      <c r="A47" s="2"/>
      <c r="B47" s="1"/>
      <c r="C47" s="1"/>
      <c r="D47" s="1"/>
      <c r="E47" s="1"/>
      <c r="F47" s="1"/>
      <c r="G47" s="2"/>
      <c r="H47" s="2"/>
      <c r="I47" s="2"/>
      <c r="J47" s="2"/>
    </row>
    <row r="48" spans="1:10" ht="15" customHeight="1">
      <c r="A48" s="2"/>
      <c r="B48" s="1"/>
      <c r="C48" s="1"/>
      <c r="D48" s="1"/>
      <c r="E48" s="1"/>
      <c r="F48" s="1"/>
      <c r="G48" s="2"/>
      <c r="H48" s="2"/>
      <c r="I48" s="2"/>
      <c r="J48" s="2"/>
    </row>
    <row r="49" spans="1:10" ht="15" customHeight="1">
      <c r="A49" s="2"/>
      <c r="B49" s="1"/>
      <c r="C49" s="1"/>
      <c r="D49" s="1"/>
      <c r="E49" s="1"/>
      <c r="F49" s="1"/>
      <c r="G49" s="2"/>
      <c r="H49" s="2"/>
      <c r="I49" s="2"/>
      <c r="J49" s="2"/>
    </row>
  </sheetData>
  <mergeCells count="56">
    <mergeCell ref="A40:D40"/>
    <mergeCell ref="A41:D41"/>
    <mergeCell ref="A42:D42"/>
    <mergeCell ref="B47:D47"/>
    <mergeCell ref="E47:F47"/>
    <mergeCell ref="B48:D48"/>
    <mergeCell ref="E48:F48"/>
    <mergeCell ref="B49:D49"/>
    <mergeCell ref="E49:F49"/>
    <mergeCell ref="B44:D44"/>
    <mergeCell ref="E44:F44"/>
    <mergeCell ref="B45:D45"/>
    <mergeCell ref="E45:F45"/>
    <mergeCell ref="B46:D46"/>
    <mergeCell ref="E46:F46"/>
    <mergeCell ref="B43:D43"/>
    <mergeCell ref="E43:F43"/>
    <mergeCell ref="A33:D33"/>
    <mergeCell ref="A34:D34"/>
    <mergeCell ref="A35:D35"/>
    <mergeCell ref="A36:D36"/>
    <mergeCell ref="A37:D37"/>
    <mergeCell ref="A38:D38"/>
    <mergeCell ref="A39:D39"/>
    <mergeCell ref="A32:D32"/>
    <mergeCell ref="A27:D27"/>
    <mergeCell ref="A28:D28"/>
    <mergeCell ref="A29:D29"/>
    <mergeCell ref="A30:D30"/>
    <mergeCell ref="A31:D31"/>
    <mergeCell ref="A24:D24"/>
    <mergeCell ref="A25:D25"/>
    <mergeCell ref="A26:D26"/>
    <mergeCell ref="A20:D20"/>
    <mergeCell ref="A21:D21"/>
    <mergeCell ref="A22:D22"/>
    <mergeCell ref="A23:D23"/>
    <mergeCell ref="A17:D17"/>
    <mergeCell ref="A18:D18"/>
    <mergeCell ref="A19:D19"/>
    <mergeCell ref="A12:D12"/>
    <mergeCell ref="A13:D13"/>
    <mergeCell ref="A14:D14"/>
    <mergeCell ref="A15:D15"/>
    <mergeCell ref="A16:D16"/>
    <mergeCell ref="A7:D7"/>
    <mergeCell ref="A8:D8"/>
    <mergeCell ref="A9:D9"/>
    <mergeCell ref="A10:D10"/>
    <mergeCell ref="A11:D11"/>
    <mergeCell ref="A4:D4"/>
    <mergeCell ref="A5:D5"/>
    <mergeCell ref="A6:D6"/>
    <mergeCell ref="B1:D1"/>
    <mergeCell ref="B2:D2"/>
    <mergeCell ref="A3:D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zoomScale="74" zoomScaleNormal="100" workbookViewId="0">
      <selection activeCell="G1" sqref="G1:K3"/>
    </sheetView>
  </sheetViews>
  <sheetFormatPr defaultColWidth="8.5703125" defaultRowHeight="15"/>
  <cols>
    <col min="1" max="1" width="28.5703125" customWidth="1"/>
  </cols>
  <sheetData>
    <row r="1" spans="1:7" ht="15.75" customHeight="1">
      <c r="A1" s="9" t="s">
        <v>0</v>
      </c>
      <c r="B1" s="10"/>
      <c r="C1" s="10"/>
      <c r="D1" s="11"/>
      <c r="E1" s="11"/>
      <c r="F1" s="12"/>
    </row>
    <row r="2" spans="1:7" ht="15.75" customHeight="1">
      <c r="A2" s="9" t="s">
        <v>71</v>
      </c>
      <c r="B2" s="10"/>
      <c r="C2" s="10"/>
      <c r="D2" s="11"/>
      <c r="E2" s="11"/>
      <c r="F2" s="12"/>
    </row>
    <row r="3" spans="1:7" ht="15" customHeight="1">
      <c r="A3" s="13" t="s">
        <v>2</v>
      </c>
      <c r="B3" s="12"/>
      <c r="C3" s="12"/>
      <c r="D3" s="12"/>
      <c r="E3" s="12"/>
      <c r="F3" s="12"/>
    </row>
    <row r="4" spans="1:7" ht="15" customHeight="1">
      <c r="A4" s="12"/>
      <c r="B4" s="15">
        <v>2025</v>
      </c>
      <c r="C4" s="15">
        <v>2026</v>
      </c>
      <c r="D4" s="15">
        <v>2027</v>
      </c>
      <c r="E4" s="15">
        <v>2028</v>
      </c>
      <c r="F4" s="15">
        <v>2029</v>
      </c>
      <c r="G4" s="2"/>
    </row>
    <row r="5" spans="1:7" ht="15" customHeight="1">
      <c r="A5" s="12"/>
      <c r="B5" s="15"/>
      <c r="C5" s="15"/>
      <c r="D5" s="15"/>
      <c r="E5" s="15"/>
      <c r="F5" s="15"/>
      <c r="G5" s="2"/>
    </row>
    <row r="6" spans="1:7" ht="15" customHeight="1">
      <c r="A6" s="12" t="s">
        <v>72</v>
      </c>
      <c r="B6" s="26">
        <f>INC!F30</f>
        <v>0.20176022326535079</v>
      </c>
      <c r="C6" s="26">
        <f>INC!G30</f>
        <v>0.21176022326535079</v>
      </c>
      <c r="D6" s="26">
        <f>INC!H30</f>
        <v>0.2217602232653508</v>
      </c>
      <c r="E6" s="26">
        <f>INC!I30</f>
        <v>0.23176022326535081</v>
      </c>
      <c r="F6" s="26">
        <f>INC!J30</f>
        <v>0.24176022326535082</v>
      </c>
      <c r="G6" s="2"/>
    </row>
    <row r="7" spans="1:7" ht="15" customHeight="1">
      <c r="A7" s="12" t="s">
        <v>73</v>
      </c>
      <c r="B7" s="26">
        <f>INC!F33/INC!F29</f>
        <v>0.3571008611809548</v>
      </c>
      <c r="C7" s="26">
        <f>INC!G33/INC!G29</f>
        <v>0.36833579549878231</v>
      </c>
      <c r="D7" s="26">
        <f>INC!H33/INC!H29</f>
        <v>0.37693474104174696</v>
      </c>
      <c r="E7" s="26">
        <f>INC!I33/INC!I29</f>
        <v>0.38572714280941262</v>
      </c>
      <c r="F7" s="26">
        <f>INC!J33/INC!J29</f>
        <v>0.39469667293595301</v>
      </c>
      <c r="G7" s="2"/>
    </row>
    <row r="8" spans="1:7" ht="15" customHeight="1">
      <c r="A8" s="12" t="s">
        <v>74</v>
      </c>
      <c r="B8" s="26">
        <f>INC!F46/INC!F29</f>
        <v>6.4165101902496177E-2</v>
      </c>
      <c r="C8" s="26">
        <f>INC!G46/INC!G29</f>
        <v>0.10168671018265034</v>
      </c>
      <c r="D8" s="26">
        <f>INC!H46/INC!H29</f>
        <v>0.1341237526750754</v>
      </c>
      <c r="E8" s="26">
        <f>INC!I46/INC!I29</f>
        <v>0.16558961964920302</v>
      </c>
      <c r="F8" s="26">
        <f>INC!J46/INC!J29</f>
        <v>0.19161347514173069</v>
      </c>
      <c r="G8" s="2"/>
    </row>
    <row r="9" spans="1:7" ht="15" customHeight="1">
      <c r="A9" s="12" t="s">
        <v>75</v>
      </c>
      <c r="B9" s="26">
        <f>INC!F53/INC!F29</f>
        <v>3.9216496981707781E-2</v>
      </c>
      <c r="C9" s="26">
        <f>INC!G53/INC!G29</f>
        <v>6.4172100803219126E-2</v>
      </c>
      <c r="D9" s="26">
        <f>INC!H53/INC!H29</f>
        <v>8.8716251860213091E-2</v>
      </c>
      <c r="E9" s="26">
        <f>INC!I53/INC!I29</f>
        <v>0.11294074586309237</v>
      </c>
      <c r="F9" s="26">
        <f>INC!J53/INC!J29</f>
        <v>0.13210617393148835</v>
      </c>
      <c r="G9" s="2"/>
    </row>
    <row r="10" spans="1:7" ht="15" customHeight="1">
      <c r="A10" s="12" t="s">
        <v>76</v>
      </c>
      <c r="B10" s="27">
        <f>INC!F46/INC!F48</f>
        <v>7.8812046611456639</v>
      </c>
      <c r="C10" s="27">
        <f>INC!G46/INC!G48</f>
        <v>10.15619873520839</v>
      </c>
      <c r="D10" s="27">
        <f>INC!H46/INC!H48</f>
        <v>18.158571989165488</v>
      </c>
      <c r="E10" s="27">
        <f>INC!I46/INC!I48</f>
        <v>39.001751686747184</v>
      </c>
      <c r="F10" s="27">
        <f>INC!J46/INC!J48</f>
        <v>66.293763985280492</v>
      </c>
      <c r="G10" s="2"/>
    </row>
    <row r="11" spans="1:7" ht="15" customHeight="1">
      <c r="A11" s="12" t="s">
        <v>77</v>
      </c>
      <c r="B11" s="27">
        <f>INC!F40/(INC!F48-CFS!E31)</f>
        <v>11.352121359924222</v>
      </c>
      <c r="C11" s="27">
        <f>INC!G40/(INC!G48-CFS!F31)</f>
        <v>4.7792121235128224</v>
      </c>
      <c r="D11" s="27">
        <f>INC!H40/(INC!H48-CFS!G31)</f>
        <v>7.4677997769636963</v>
      </c>
      <c r="E11" s="27">
        <f>INC!I40/(INC!I48-CFS!H31)</f>
        <v>12.056039604812552</v>
      </c>
      <c r="F11" s="27">
        <f>INC!J40/(INC!J48-CFS!I31)</f>
        <v>17.818756722892957</v>
      </c>
      <c r="G11" s="2"/>
    </row>
    <row r="12" spans="1:7" ht="15" customHeight="1">
      <c r="A12" s="12" t="s">
        <v>78</v>
      </c>
      <c r="B12" s="26">
        <f>(INC!F53-INC!F54)/INC!F53</f>
        <v>0.95000000000000007</v>
      </c>
      <c r="C12" s="26">
        <f>(INC!G53-INC!G54)/INC!G53</f>
        <v>0.95000000000000007</v>
      </c>
      <c r="D12" s="26">
        <f>(INC!H53-INC!H54)/INC!H53</f>
        <v>0.95</v>
      </c>
      <c r="E12" s="26">
        <f>(INC!I53-INC!I54)/INC!I53</f>
        <v>0.95000000000000007</v>
      </c>
      <c r="F12" s="26">
        <f>(INC!J53-INC!J54)/INC!J53</f>
        <v>0.95</v>
      </c>
      <c r="G12" s="2"/>
    </row>
    <row r="13" spans="1:7" ht="15" customHeight="1">
      <c r="A13" s="12" t="s">
        <v>79</v>
      </c>
      <c r="B13" s="28">
        <f>BS!F10/BS!F20</f>
        <v>6.5796496521279382</v>
      </c>
      <c r="C13" s="28">
        <f>BS!G10/BS!G20</f>
        <v>6.6051020429254761</v>
      </c>
      <c r="D13" s="28">
        <f>BS!H10/BS!H20</f>
        <v>7.4037485722133338</v>
      </c>
      <c r="E13" s="28">
        <f>BS!I10/BS!I20</f>
        <v>7.7752269060220884</v>
      </c>
      <c r="F13" s="28">
        <f>BS!J10/BS!J20</f>
        <v>8.4687710823853539</v>
      </c>
      <c r="G13" s="2"/>
    </row>
    <row r="14" spans="1:7" ht="15" customHeight="1">
      <c r="A14" s="12" t="s">
        <v>80</v>
      </c>
      <c r="B14" s="29">
        <f>BS!F7/INC!F29*365</f>
        <v>16.922462030375701</v>
      </c>
      <c r="C14" s="29">
        <f>BS!G7/INC!G29*365</f>
        <v>16.922462030375701</v>
      </c>
      <c r="D14" s="29">
        <f>BS!H7/INC!H29*365</f>
        <v>16.922462030375701</v>
      </c>
      <c r="E14" s="29">
        <f>BS!I7/INC!I29*365</f>
        <v>16.922462030375701</v>
      </c>
      <c r="F14" s="29">
        <f>BS!J7/INC!J29*365</f>
        <v>16.922462030375701</v>
      </c>
      <c r="G14" s="2"/>
    </row>
    <row r="15" spans="1:7" ht="15" customHeight="1">
      <c r="A15" s="12" t="s">
        <v>81</v>
      </c>
      <c r="B15" s="28">
        <f>(BS!F22+BS!F23)/BS!F28</f>
        <v>0.71696379396348264</v>
      </c>
      <c r="C15" s="28">
        <f>(BS!G22+BS!G23)/BS!G28</f>
        <v>0.51208130468333668</v>
      </c>
      <c r="D15" s="28">
        <f>(BS!H22+BS!H23)/BS!H28</f>
        <v>0.2510809794042243</v>
      </c>
      <c r="E15" s="28">
        <f>(BS!I22+BS!I23)/BS!I28</f>
        <v>0.15372855800698174</v>
      </c>
      <c r="F15" s="28">
        <f>(BS!J22+BS!J23)/BS!J28</f>
        <v>8.96877963125884E-2</v>
      </c>
      <c r="G15" s="2"/>
    </row>
    <row r="16" spans="1:7" ht="15" customHeight="1">
      <c r="A16" s="12" t="s">
        <v>82</v>
      </c>
      <c r="B16" s="29">
        <f>BS!F28</f>
        <v>42.40102534598612</v>
      </c>
      <c r="C16" s="29">
        <f>BS!G28</f>
        <v>53.507128163844492</v>
      </c>
      <c r="D16" s="29">
        <f>BS!H28</f>
        <v>77.265908576719553</v>
      </c>
      <c r="E16" s="29">
        <f>BS!I28</f>
        <v>106.68154448736308</v>
      </c>
      <c r="F16" s="29">
        <f>BS!J28</f>
        <v>149.40717188877124</v>
      </c>
      <c r="G16" s="2"/>
    </row>
    <row r="17" spans="1:7" ht="15" customHeight="1">
      <c r="A17" s="12" t="s">
        <v>83</v>
      </c>
      <c r="B17" s="26">
        <f>INC!F46/(BS!F28+BS!F22+BS!F23)</f>
        <v>0.13250630000603636</v>
      </c>
      <c r="C17" s="26">
        <f>INC!G46/(BS!G28+BS!G22+BS!G23)</f>
        <v>0.22896507283641851</v>
      </c>
      <c r="D17" s="26">
        <f>INC!H46/(BS!H28+BS!H22+BS!H23)</f>
        <v>0.30882337723537007</v>
      </c>
      <c r="E17" s="26">
        <f>INC!I46/(BS!I28+BS!I22+BS!I23)</f>
        <v>0.36884521682318333</v>
      </c>
      <c r="F17" s="26">
        <f>INC!J46/(BS!J28+BS!J22+BS!J23)</f>
        <v>0.40067684368402873</v>
      </c>
      <c r="G17" s="2"/>
    </row>
    <row r="18" spans="1:7" ht="15" customHeight="1">
      <c r="A18" s="12" t="s">
        <v>84</v>
      </c>
      <c r="B18" s="26">
        <f>INC!F53/BS!F28</f>
        <v>0.13904890519888644</v>
      </c>
      <c r="C18" s="26">
        <f>INC!G53/BS!G28</f>
        <v>0.21848742300868976</v>
      </c>
      <c r="D18" s="26">
        <f>INC!H53/BS!H28</f>
        <v>0.25556011711847254</v>
      </c>
      <c r="E18" s="26">
        <f>INC!I53/BS!I28</f>
        <v>0.29024539739419891</v>
      </c>
      <c r="F18" s="26">
        <f>INC!J53/BS!J28</f>
        <v>0.3010186463240408</v>
      </c>
      <c r="G18" s="2"/>
    </row>
    <row r="19" spans="1:7" ht="15" customHeight="1">
      <c r="A19" s="2"/>
      <c r="B19" s="2"/>
      <c r="C19" s="2"/>
      <c r="D19" s="2"/>
      <c r="E19" s="2"/>
      <c r="F19" s="2"/>
      <c r="G19" s="2"/>
    </row>
    <row r="20" spans="1:7" ht="15" customHeight="1">
      <c r="A20" s="2"/>
      <c r="B20" s="2"/>
      <c r="C20" s="2"/>
      <c r="D20" s="2"/>
      <c r="E20" s="2"/>
      <c r="F20" s="2"/>
      <c r="G20" s="2"/>
    </row>
  </sheetData>
  <mergeCells count="4">
    <mergeCell ref="B1:C1"/>
    <mergeCell ref="D1:E1"/>
    <mergeCell ref="B2:C2"/>
    <mergeCell ref="D2:E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8"/>
  <sheetViews>
    <sheetView zoomScale="64" zoomScaleNormal="100" workbookViewId="0">
      <selection activeCell="M12" sqref="M12"/>
    </sheetView>
  </sheetViews>
  <sheetFormatPr defaultColWidth="8.5703125" defaultRowHeight="15"/>
  <cols>
    <col min="1" max="1" width="28.5703125" customWidth="1"/>
  </cols>
  <sheetData>
    <row r="1" spans="1:11" ht="15.75" customHeight="1">
      <c r="A1" s="9" t="s">
        <v>0</v>
      </c>
      <c r="B1" s="10"/>
      <c r="C1" s="10"/>
      <c r="D1" s="11"/>
      <c r="E1" s="11"/>
      <c r="F1" s="12"/>
      <c r="G1" s="12"/>
      <c r="H1" s="12"/>
      <c r="I1" s="12"/>
      <c r="J1" s="12"/>
      <c r="K1" s="2"/>
    </row>
    <row r="2" spans="1:11" ht="15.75" customHeight="1">
      <c r="A2" s="9" t="s">
        <v>85</v>
      </c>
      <c r="B2" s="10"/>
      <c r="C2" s="10"/>
      <c r="D2" s="11"/>
      <c r="E2" s="11"/>
      <c r="F2" s="12"/>
      <c r="G2" s="12"/>
      <c r="H2" s="12"/>
      <c r="I2" s="12"/>
      <c r="J2" s="12"/>
      <c r="K2" s="2"/>
    </row>
    <row r="3" spans="1:11" ht="15" customHeight="1">
      <c r="A3" s="13" t="s">
        <v>2</v>
      </c>
      <c r="B3" s="11"/>
      <c r="C3" s="11"/>
      <c r="D3" s="11"/>
      <c r="E3" s="11"/>
      <c r="F3" s="12"/>
      <c r="G3" s="12"/>
      <c r="H3" s="12"/>
      <c r="I3" s="12"/>
      <c r="J3" s="12"/>
      <c r="K3" s="2"/>
    </row>
    <row r="4" spans="1:11" ht="15" customHeight="1">
      <c r="A4" s="12"/>
      <c r="B4" s="14"/>
      <c r="C4" s="14"/>
      <c r="D4" s="14"/>
      <c r="E4" s="14"/>
      <c r="F4" s="15">
        <v>2025</v>
      </c>
      <c r="G4" s="15">
        <v>2026</v>
      </c>
      <c r="H4" s="15">
        <v>2027</v>
      </c>
      <c r="I4" s="15">
        <v>2028</v>
      </c>
      <c r="J4" s="15">
        <v>2029</v>
      </c>
      <c r="K4" s="2"/>
    </row>
    <row r="5" spans="1:11" ht="15" customHeight="1">
      <c r="A5" s="12"/>
      <c r="B5" s="14"/>
      <c r="C5" s="14"/>
      <c r="D5" s="14"/>
      <c r="E5" s="14"/>
      <c r="F5" s="15"/>
      <c r="G5" s="15"/>
      <c r="H5" s="15"/>
      <c r="I5" s="15"/>
      <c r="J5" s="15"/>
      <c r="K5" s="2"/>
    </row>
    <row r="6" spans="1:11" ht="15" customHeight="1">
      <c r="A6" s="12"/>
      <c r="B6" s="11"/>
      <c r="C6" s="11"/>
      <c r="D6" s="11"/>
      <c r="E6" s="11"/>
      <c r="F6" s="12"/>
      <c r="G6" s="12"/>
      <c r="H6" s="12"/>
      <c r="I6" s="12"/>
      <c r="J6" s="12"/>
      <c r="K6" s="2"/>
    </row>
    <row r="7" spans="1:11" ht="15" customHeight="1">
      <c r="A7" s="12" t="s">
        <v>86</v>
      </c>
      <c r="B7" s="16">
        <v>1.2</v>
      </c>
      <c r="C7" s="11"/>
      <c r="D7" s="11"/>
      <c r="E7" s="11"/>
      <c r="F7" s="11"/>
      <c r="G7" s="12"/>
      <c r="H7" s="12"/>
      <c r="I7" s="12"/>
      <c r="J7" s="12"/>
      <c r="K7" s="2"/>
    </row>
    <row r="8" spans="1:11" ht="15" customHeight="1">
      <c r="A8" s="12" t="s">
        <v>87</v>
      </c>
      <c r="B8" s="17">
        <v>3.2500000000000001E-2</v>
      </c>
      <c r="C8" s="11"/>
      <c r="D8" s="11"/>
      <c r="E8" s="11"/>
      <c r="F8" s="11"/>
      <c r="G8" s="12"/>
      <c r="H8" s="12"/>
      <c r="I8" s="12"/>
      <c r="J8" s="12"/>
      <c r="K8" s="2"/>
    </row>
    <row r="9" spans="1:11" ht="15" customHeight="1">
      <c r="A9" s="12" t="s">
        <v>88</v>
      </c>
      <c r="B9" s="17">
        <v>0.10299999999999999</v>
      </c>
      <c r="C9" s="11"/>
      <c r="D9" s="11"/>
      <c r="E9" s="11"/>
      <c r="F9" s="11"/>
      <c r="G9" s="12"/>
      <c r="H9" s="12"/>
      <c r="I9" s="12"/>
      <c r="J9" s="12"/>
      <c r="K9" s="2"/>
    </row>
    <row r="10" spans="1:11" ht="15" customHeight="1">
      <c r="A10" s="12" t="s">
        <v>89</v>
      </c>
      <c r="B10" s="17">
        <v>0.03</v>
      </c>
      <c r="C10" s="11"/>
      <c r="D10" s="11"/>
      <c r="E10" s="11"/>
      <c r="F10" s="11"/>
      <c r="G10" s="18"/>
      <c r="H10" s="18"/>
      <c r="I10" s="18"/>
      <c r="J10" s="18"/>
      <c r="K10" s="2"/>
    </row>
    <row r="11" spans="1:11" ht="15" customHeight="1">
      <c r="A11" s="12"/>
      <c r="B11" s="11"/>
      <c r="C11" s="11"/>
      <c r="D11" s="11"/>
      <c r="E11" s="11"/>
      <c r="F11" s="12"/>
      <c r="G11" s="12"/>
      <c r="H11" s="12"/>
      <c r="I11" s="12"/>
      <c r="J11" s="12"/>
      <c r="K11" s="2"/>
    </row>
    <row r="12" spans="1:11" ht="15" customHeight="1">
      <c r="A12" s="12" t="s">
        <v>90</v>
      </c>
      <c r="B12" s="19">
        <f>B8+B7*(B9-B8)</f>
        <v>0.1171</v>
      </c>
      <c r="C12" s="19"/>
      <c r="D12" s="11"/>
      <c r="E12" s="11"/>
      <c r="F12" s="12"/>
      <c r="G12" s="12"/>
      <c r="H12" s="12"/>
      <c r="I12" s="12"/>
      <c r="J12" s="12"/>
      <c r="K12" s="2"/>
    </row>
    <row r="13" spans="1:11" ht="15" customHeight="1">
      <c r="A13" s="12" t="s">
        <v>91</v>
      </c>
      <c r="B13" s="19">
        <f>6%</f>
        <v>0.06</v>
      </c>
      <c r="C13" s="19"/>
      <c r="D13" s="11"/>
      <c r="E13" s="11"/>
      <c r="F13" s="12"/>
      <c r="G13" s="12"/>
      <c r="H13" s="12"/>
      <c r="I13" s="12"/>
      <c r="J13" s="12"/>
      <c r="K13" s="2"/>
    </row>
    <row r="14" spans="1:11" ht="15" customHeight="1">
      <c r="A14" s="12" t="s">
        <v>92</v>
      </c>
      <c r="B14" s="19">
        <f>30%</f>
        <v>0.3</v>
      </c>
      <c r="C14" s="19"/>
      <c r="D14" s="11"/>
      <c r="E14" s="11"/>
      <c r="F14" s="12"/>
      <c r="G14" s="12"/>
      <c r="H14" s="12"/>
      <c r="I14" s="12"/>
      <c r="J14" s="12"/>
      <c r="K14" s="2"/>
    </row>
    <row r="15" spans="1:11" ht="15" customHeight="1">
      <c r="A15" s="12" t="s">
        <v>93</v>
      </c>
      <c r="B15" s="19">
        <f>B13*(1-B14)</f>
        <v>4.1999999999999996E-2</v>
      </c>
      <c r="C15" s="19"/>
      <c r="D15" s="11"/>
      <c r="E15" s="11"/>
      <c r="F15" s="12"/>
      <c r="G15" s="12"/>
      <c r="H15" s="12"/>
      <c r="I15" s="12"/>
      <c r="J15" s="12"/>
      <c r="K15" s="2"/>
    </row>
    <row r="16" spans="1:11" ht="15" customHeight="1">
      <c r="A16" s="12" t="s">
        <v>94</v>
      </c>
      <c r="B16" s="19">
        <f>BS!F28/(BS!F28+BS!F22+BS!F23)</f>
        <v>0.58242346374210652</v>
      </c>
      <c r="C16" s="19"/>
      <c r="D16" s="11"/>
      <c r="E16" s="11"/>
      <c r="F16" s="12"/>
      <c r="G16" s="12"/>
      <c r="H16" s="12"/>
      <c r="I16" s="12"/>
      <c r="J16" s="12"/>
      <c r="K16" s="2"/>
    </row>
    <row r="17" spans="1:11" ht="15" customHeight="1">
      <c r="A17" s="12" t="s">
        <v>95</v>
      </c>
      <c r="B17" s="19">
        <f>1-B16</f>
        <v>0.41757653625789348</v>
      </c>
      <c r="C17" s="19"/>
      <c r="D17" s="11"/>
      <c r="E17" s="11"/>
      <c r="F17" s="12"/>
      <c r="G17" s="12"/>
      <c r="H17" s="12"/>
      <c r="I17" s="12"/>
      <c r="J17" s="12"/>
      <c r="K17" s="2"/>
    </row>
    <row r="18" spans="1:11" ht="15" customHeight="1">
      <c r="A18" s="20" t="s">
        <v>96</v>
      </c>
      <c r="B18" s="21">
        <f>B16*B12+B17*B15</f>
        <v>8.57400021270322E-2</v>
      </c>
      <c r="C18" s="21"/>
      <c r="D18" s="11"/>
      <c r="E18" s="11"/>
      <c r="F18" s="12"/>
      <c r="G18" s="12"/>
      <c r="H18" s="12"/>
      <c r="I18" s="12"/>
      <c r="J18" s="12"/>
      <c r="K18" s="2"/>
    </row>
    <row r="19" spans="1:11" ht="15" customHeight="1">
      <c r="A19" s="12"/>
      <c r="B19" s="11"/>
      <c r="C19" s="11"/>
      <c r="D19" s="11"/>
      <c r="E19" s="11"/>
      <c r="F19" s="12"/>
      <c r="G19" s="12"/>
      <c r="H19" s="12"/>
      <c r="I19" s="12"/>
      <c r="J19" s="12"/>
      <c r="K19" s="2"/>
    </row>
    <row r="20" spans="1:11">
      <c r="A20" s="22"/>
      <c r="B20" s="22"/>
      <c r="C20" s="22"/>
      <c r="D20" s="22"/>
      <c r="E20" s="22"/>
      <c r="F20" s="22"/>
      <c r="G20" s="22"/>
      <c r="H20" s="22"/>
      <c r="I20" s="22"/>
      <c r="J20" s="22"/>
    </row>
    <row r="21" spans="1:11" ht="15" customHeight="1">
      <c r="A21" s="12" t="s">
        <v>26</v>
      </c>
      <c r="B21" s="22"/>
      <c r="C21" s="22"/>
      <c r="D21" s="22"/>
      <c r="E21" s="22"/>
      <c r="F21" s="23">
        <f>INC!F46</f>
        <v>9.6465945052422928</v>
      </c>
      <c r="G21" s="23">
        <f>INC!G46</f>
        <v>18.524906493020101</v>
      </c>
      <c r="H21" s="23">
        <f>INC!H46</f>
        <v>29.852692350188057</v>
      </c>
      <c r="I21" s="23">
        <f>INC!I46</f>
        <v>45.398038963373722</v>
      </c>
      <c r="J21" s="23">
        <f>INC!J46</f>
        <v>65.233063761515993</v>
      </c>
    </row>
    <row r="22" spans="1:11" ht="15" customHeight="1">
      <c r="A22" s="12" t="s">
        <v>97</v>
      </c>
      <c r="B22" s="22"/>
      <c r="C22" s="22"/>
      <c r="D22" s="22"/>
      <c r="E22" s="22"/>
      <c r="F22" s="23">
        <f>F21*$B$14</f>
        <v>2.8939783515726876</v>
      </c>
      <c r="G22" s="23">
        <f>G21*$B$14</f>
        <v>5.5574719479060297</v>
      </c>
      <c r="H22" s="23">
        <f>H21*$B$14</f>
        <v>8.9558077050564169</v>
      </c>
      <c r="I22" s="23">
        <f>I21*$B$14</f>
        <v>13.619411689012116</v>
      </c>
      <c r="J22" s="23">
        <f>J21*$B$14</f>
        <v>19.569919128454796</v>
      </c>
    </row>
    <row r="23" spans="1:11" ht="15" customHeight="1">
      <c r="A23" s="20" t="s">
        <v>98</v>
      </c>
      <c r="B23" s="22"/>
      <c r="C23" s="22"/>
      <c r="D23" s="22"/>
      <c r="E23" s="22"/>
      <c r="F23" s="24">
        <f>F21-F22</f>
        <v>6.7526161536696048</v>
      </c>
      <c r="G23" s="24">
        <f>G21-G22</f>
        <v>12.96743454511407</v>
      </c>
      <c r="H23" s="24">
        <f>H21-H22</f>
        <v>20.896884645131642</v>
      </c>
      <c r="I23" s="24">
        <f>I21-I22</f>
        <v>31.778627274361604</v>
      </c>
      <c r="J23" s="24">
        <f>J21-J22</f>
        <v>45.663144633061194</v>
      </c>
    </row>
    <row r="24" spans="1:11" ht="15" customHeight="1">
      <c r="A24" s="12" t="s">
        <v>54</v>
      </c>
      <c r="B24" s="22"/>
      <c r="C24" s="22"/>
      <c r="D24" s="22"/>
      <c r="E24" s="22"/>
      <c r="F24" s="23">
        <f>INC!F42</f>
        <v>2.7450000000000001</v>
      </c>
      <c r="G24" s="23">
        <f>INC!G42</f>
        <v>2.70825</v>
      </c>
      <c r="H24" s="23">
        <f>INC!H42</f>
        <v>2.6020124999999998</v>
      </c>
      <c r="I24" s="23">
        <f>INC!I42</f>
        <v>2.0617106249999999</v>
      </c>
      <c r="J24" s="23">
        <f>INC!J42</f>
        <v>2.3524540312499997</v>
      </c>
    </row>
    <row r="25" spans="1:11" ht="15" customHeight="1">
      <c r="A25" s="12" t="s">
        <v>99</v>
      </c>
      <c r="B25" s="22"/>
      <c r="C25" s="22"/>
      <c r="D25" s="22"/>
      <c r="E25" s="22"/>
      <c r="F25" s="23">
        <f>-CFS!E20</f>
        <v>2.5</v>
      </c>
      <c r="G25" s="23">
        <f>-CFS!F20</f>
        <v>2</v>
      </c>
      <c r="H25" s="23">
        <f>-CFS!G20</f>
        <v>-1</v>
      </c>
      <c r="I25" s="23">
        <f>-CFS!H20</f>
        <v>4</v>
      </c>
      <c r="J25" s="23">
        <f>-CFS!I20</f>
        <v>5.5</v>
      </c>
    </row>
    <row r="26" spans="1:11" ht="15" customHeight="1">
      <c r="A26" s="12" t="s">
        <v>100</v>
      </c>
      <c r="B26" s="22"/>
      <c r="C26" s="22"/>
      <c r="D26" s="22"/>
      <c r="E26" s="22"/>
      <c r="F26" s="23">
        <f>((BS!F7+BS!F8+BS!F9)-(BS!F18+BS!F19))-((BS!E7+BS!E8+BS!E9)-(BS!E18+BS!E19))</f>
        <v>7.1826639482464785</v>
      </c>
      <c r="G26" s="23">
        <f>((BS!G7+BS!G8+BS!G9)-(BS!G18+BS!G19))-((BS!F7+BS!F8+BS!F9)-(BS!F18+BS!F19))</f>
        <v>9.059666469567162</v>
      </c>
      <c r="H26" s="23">
        <f>((BS!H7+BS!H8+BS!H9)-(BS!H18+BS!H19))-((BS!G7+BS!G8+BS!G9)-(BS!G18+BS!G19))</f>
        <v>11.496566768050428</v>
      </c>
      <c r="I26" s="23">
        <f>((BS!I7+BS!I8+BS!I9)-(BS!I18+BS!I19))-((BS!H7+BS!H8+BS!H9)-(BS!H18+BS!H19))</f>
        <v>14.67943695317696</v>
      </c>
      <c r="J26" s="23">
        <f>((BS!J7+BS!J8+BS!J9)-(BS!J18+BS!J19))-((BS!I7+BS!I8+BS!I9)-(BS!I18+BS!I19))</f>
        <v>18.861729880245321</v>
      </c>
    </row>
    <row r="27" spans="1:11" ht="15" customHeight="1">
      <c r="A27" s="20" t="s">
        <v>101</v>
      </c>
      <c r="B27" s="22"/>
      <c r="C27" s="22"/>
      <c r="D27" s="22"/>
      <c r="E27" s="22"/>
      <c r="F27" s="24">
        <f>F23+F24-F25-F26</f>
        <v>-0.18504779457687448</v>
      </c>
      <c r="G27" s="24">
        <f>G23+G24-G25-G26</f>
        <v>4.6160180755469078</v>
      </c>
      <c r="H27" s="24">
        <f>H23+H24-H25-H26</f>
        <v>13.002330377081215</v>
      </c>
      <c r="I27" s="24">
        <f>I23+I24-I25-I26</f>
        <v>15.16090094618464</v>
      </c>
      <c r="J27" s="24">
        <f>J23+J24-J25-J26</f>
        <v>23.653868784065871</v>
      </c>
    </row>
    <row r="28" spans="1:11" ht="15" customHeight="1">
      <c r="A28" s="12" t="s">
        <v>102</v>
      </c>
      <c r="B28" s="22"/>
      <c r="C28" s="22"/>
      <c r="D28" s="22"/>
      <c r="E28" s="22"/>
      <c r="F28" s="25">
        <f>1/(1+$B$18)^1</f>
        <v>0.92103081588680324</v>
      </c>
      <c r="G28" s="25">
        <f>1/(1+$B$18)^2</f>
        <v>0.84829776381311039</v>
      </c>
      <c r="H28" s="25">
        <f>1/(1+$B$18)^3</f>
        <v>0.7813083815197398</v>
      </c>
      <c r="I28" s="25">
        <f>1/(1+$B$18)^4</f>
        <v>0.71960909609032353</v>
      </c>
      <c r="J28" s="25">
        <f>1/(1+$B$18)^5</f>
        <v>0.66278215289163578</v>
      </c>
    </row>
    <row r="29" spans="1:11" ht="15" customHeight="1">
      <c r="A29" s="20" t="s">
        <v>103</v>
      </c>
      <c r="B29" s="22"/>
      <c r="C29" s="22"/>
      <c r="D29" s="22"/>
      <c r="E29" s="22"/>
      <c r="F29" s="24">
        <f>F27*F28</f>
        <v>-0.17043472121719228</v>
      </c>
      <c r="G29" s="24">
        <f>G27*G28</f>
        <v>3.9157578112073392</v>
      </c>
      <c r="H29" s="24">
        <f>H27*H28</f>
        <v>10.158829702902272</v>
      </c>
      <c r="I29" s="24">
        <f>I27*I28</f>
        <v>10.909922225798859</v>
      </c>
      <c r="J29" s="24">
        <f>J27*J28</f>
        <v>15.677362076919437</v>
      </c>
    </row>
    <row r="30" spans="1:11">
      <c r="A30" s="22"/>
      <c r="B30" s="22"/>
      <c r="C30" s="22"/>
      <c r="D30" s="22"/>
      <c r="E30" s="22"/>
      <c r="F30" s="22"/>
      <c r="G30" s="22"/>
      <c r="H30" s="22"/>
      <c r="I30" s="22"/>
      <c r="J30" s="22"/>
    </row>
    <row r="31" spans="1:11" ht="15" customHeight="1">
      <c r="A31" s="12" t="s">
        <v>104</v>
      </c>
      <c r="B31" s="22"/>
      <c r="C31" s="22"/>
      <c r="D31" s="22"/>
      <c r="E31" s="22"/>
      <c r="F31" s="22"/>
      <c r="G31" s="22"/>
      <c r="H31" s="22"/>
      <c r="I31" s="22"/>
      <c r="J31" s="23">
        <f>J27*(1+$B$10)/($B$18-$B$10)</f>
        <v>437.09156652099051</v>
      </c>
    </row>
    <row r="32" spans="1:11" ht="15" customHeight="1">
      <c r="A32" s="12" t="s">
        <v>105</v>
      </c>
      <c r="B32" s="22"/>
      <c r="C32" s="22"/>
      <c r="D32" s="22"/>
      <c r="E32" s="22"/>
      <c r="F32" s="22"/>
      <c r="G32" s="22"/>
      <c r="H32" s="22"/>
      <c r="I32" s="22"/>
      <c r="J32" s="23">
        <f>J31*J28</f>
        <v>289.69648946955971</v>
      </c>
    </row>
    <row r="33" spans="1:10">
      <c r="A33" s="22"/>
      <c r="B33" s="22"/>
      <c r="C33" s="22"/>
      <c r="D33" s="22"/>
      <c r="E33" s="22"/>
      <c r="F33" s="22"/>
      <c r="G33" s="22"/>
      <c r="H33" s="22"/>
      <c r="I33" s="22"/>
      <c r="J33" s="22"/>
    </row>
    <row r="34" spans="1:10" ht="15" customHeight="1">
      <c r="A34" s="12" t="s">
        <v>106</v>
      </c>
      <c r="B34" s="23">
        <f>SUM(F29:J29)</f>
        <v>40.491437095610713</v>
      </c>
      <c r="C34" s="22"/>
      <c r="D34" s="22"/>
      <c r="E34" s="22"/>
      <c r="F34" s="22"/>
      <c r="G34" s="22"/>
      <c r="H34" s="22"/>
      <c r="I34" s="22"/>
      <c r="J34" s="22"/>
    </row>
    <row r="35" spans="1:10" ht="15" customHeight="1">
      <c r="A35" s="12" t="s">
        <v>105</v>
      </c>
      <c r="B35" s="23">
        <f>J32</f>
        <v>289.69648946955971</v>
      </c>
      <c r="C35" s="22"/>
      <c r="D35" s="22"/>
      <c r="E35" s="22"/>
      <c r="F35" s="22"/>
      <c r="G35" s="22"/>
      <c r="H35" s="22"/>
      <c r="I35" s="22"/>
      <c r="J35" s="22"/>
    </row>
    <row r="36" spans="1:10" ht="15" customHeight="1">
      <c r="A36" s="20" t="s">
        <v>107</v>
      </c>
      <c r="B36" s="24">
        <f>B34+B35</f>
        <v>330.18792656517041</v>
      </c>
      <c r="C36" s="22"/>
      <c r="D36" s="22"/>
      <c r="E36" s="22"/>
      <c r="F36" s="22"/>
      <c r="G36" s="22"/>
      <c r="H36" s="22"/>
      <c r="I36" s="22"/>
      <c r="J36" s="22"/>
    </row>
    <row r="37" spans="1:10" ht="15" customHeight="1">
      <c r="A37" s="12" t="s">
        <v>108</v>
      </c>
      <c r="B37" s="23">
        <f>BS!E22+BS!E23-BS!E6</f>
        <v>19.399999999999999</v>
      </c>
      <c r="C37" s="22"/>
      <c r="D37" s="22"/>
      <c r="E37" s="22"/>
      <c r="F37" s="22"/>
      <c r="G37" s="22"/>
      <c r="H37" s="22"/>
      <c r="I37" s="22"/>
      <c r="J37" s="22"/>
    </row>
    <row r="38" spans="1:10" ht="15" customHeight="1">
      <c r="A38" s="20" t="s">
        <v>109</v>
      </c>
      <c r="B38" s="24">
        <f>B36-B37</f>
        <v>310.78792656517044</v>
      </c>
      <c r="C38" s="22"/>
      <c r="D38" s="22"/>
      <c r="E38" s="22"/>
      <c r="F38" s="22"/>
      <c r="G38" s="22"/>
      <c r="H38" s="22"/>
      <c r="I38" s="22"/>
      <c r="J38" s="22"/>
    </row>
  </sheetData>
  <mergeCells count="38">
    <mergeCell ref="B19:C19"/>
    <mergeCell ref="D19:E19"/>
    <mergeCell ref="B16:C16"/>
    <mergeCell ref="D16:E16"/>
    <mergeCell ref="B17:C17"/>
    <mergeCell ref="D17:E17"/>
    <mergeCell ref="B18:C18"/>
    <mergeCell ref="D18:E18"/>
    <mergeCell ref="B13:C13"/>
    <mergeCell ref="D13:E13"/>
    <mergeCell ref="B14:C14"/>
    <mergeCell ref="D14:E14"/>
    <mergeCell ref="B15:C15"/>
    <mergeCell ref="D15:E15"/>
    <mergeCell ref="C10:D10"/>
    <mergeCell ref="E10:F10"/>
    <mergeCell ref="B11:C11"/>
    <mergeCell ref="D11:E11"/>
    <mergeCell ref="B12:C12"/>
    <mergeCell ref="D12:E12"/>
    <mergeCell ref="C7:D7"/>
    <mergeCell ref="E7:F7"/>
    <mergeCell ref="C8:D8"/>
    <mergeCell ref="E8:F8"/>
    <mergeCell ref="C9:D9"/>
    <mergeCell ref="E9:F9"/>
    <mergeCell ref="B4:C4"/>
    <mergeCell ref="D4:E4"/>
    <mergeCell ref="B5:C5"/>
    <mergeCell ref="D5:E5"/>
    <mergeCell ref="B6:C6"/>
    <mergeCell ref="D6:E6"/>
    <mergeCell ref="B1:C1"/>
    <mergeCell ref="D1:E1"/>
    <mergeCell ref="B2:C2"/>
    <mergeCell ref="D2:E2"/>
    <mergeCell ref="B3:C3"/>
    <mergeCell ref="D3:E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7"/>
  <sheetViews>
    <sheetView topLeftCell="A3" zoomScale="61" zoomScaleNormal="61" workbookViewId="0">
      <selection activeCell="C24" sqref="C24"/>
    </sheetView>
  </sheetViews>
  <sheetFormatPr defaultColWidth="9.140625" defaultRowHeight="15"/>
  <cols>
    <col min="1" max="16384" width="9.140625" style="6"/>
  </cols>
  <sheetData>
    <row r="1" spans="1:11" ht="15" customHeight="1">
      <c r="A1" s="6" t="s">
        <v>1</v>
      </c>
      <c r="G1" s="6" t="s">
        <v>110</v>
      </c>
    </row>
    <row r="3" spans="1:11" ht="15" customHeight="1">
      <c r="A3" s="6" t="s">
        <v>111</v>
      </c>
    </row>
    <row r="4" spans="1:11" ht="15" customHeight="1">
      <c r="A4" s="6" t="s">
        <v>112</v>
      </c>
      <c r="E4" s="7">
        <v>0.02</v>
      </c>
      <c r="G4" s="6" t="s">
        <v>113</v>
      </c>
    </row>
    <row r="5" spans="1:11" ht="15" customHeight="1">
      <c r="A5" s="6" t="s">
        <v>114</v>
      </c>
      <c r="E5" s="7">
        <v>0.01</v>
      </c>
      <c r="G5" s="6" t="s">
        <v>115</v>
      </c>
    </row>
    <row r="6" spans="1:11" ht="15" customHeight="1">
      <c r="G6" s="6" t="s">
        <v>116</v>
      </c>
    </row>
    <row r="7" spans="1:11" ht="15" customHeight="1">
      <c r="A7" s="6" t="s">
        <v>117</v>
      </c>
      <c r="G7" s="6" t="s">
        <v>118</v>
      </c>
    </row>
    <row r="8" spans="1:11" ht="15" customHeight="1">
      <c r="A8" s="6" t="s">
        <v>119</v>
      </c>
      <c r="E8" s="7">
        <v>0.9</v>
      </c>
      <c r="G8" s="6" t="s">
        <v>120</v>
      </c>
    </row>
    <row r="9" spans="1:11" ht="15" customHeight="1">
      <c r="A9" s="6" t="s">
        <v>121</v>
      </c>
      <c r="G9" s="6" t="s">
        <v>122</v>
      </c>
    </row>
    <row r="10" spans="1:11" ht="15" customHeight="1">
      <c r="A10" s="6" t="s">
        <v>123</v>
      </c>
      <c r="E10" s="7">
        <v>0.92500000000000004</v>
      </c>
      <c r="G10" s="6" t="s">
        <v>124</v>
      </c>
      <c r="K10" s="8">
        <v>0.05</v>
      </c>
    </row>
    <row r="11" spans="1:11" ht="15" customHeight="1">
      <c r="A11" s="6" t="s">
        <v>125</v>
      </c>
      <c r="G11" s="6" t="s">
        <v>126</v>
      </c>
    </row>
    <row r="12" spans="1:11" ht="15" customHeight="1">
      <c r="G12" s="6" t="s">
        <v>127</v>
      </c>
    </row>
    <row r="13" spans="1:11" ht="15" customHeight="1">
      <c r="A13" s="6" t="s">
        <v>5</v>
      </c>
    </row>
    <row r="14" spans="1:11" ht="15" customHeight="1">
      <c r="A14" s="6" t="s">
        <v>128</v>
      </c>
      <c r="E14" s="7">
        <v>0.25</v>
      </c>
    </row>
    <row r="15" spans="1:11" ht="15" customHeight="1">
      <c r="A15" s="6" t="s">
        <v>129</v>
      </c>
    </row>
    <row r="17" spans="1:5" ht="15" customHeight="1">
      <c r="A17" s="6" t="s">
        <v>130</v>
      </c>
      <c r="E17" s="7">
        <v>0.09</v>
      </c>
    </row>
    <row r="19" spans="1:5" ht="15" customHeight="1">
      <c r="A19" s="6" t="s">
        <v>131</v>
      </c>
      <c r="E19" s="7">
        <v>0.15</v>
      </c>
    </row>
    <row r="21" spans="1:5" ht="15" customHeight="1">
      <c r="A21" s="6" t="s">
        <v>132</v>
      </c>
      <c r="E21" s="8">
        <v>0.01</v>
      </c>
    </row>
    <row r="23" spans="1:5" ht="15" customHeight="1">
      <c r="A23" s="6" t="s">
        <v>133</v>
      </c>
    </row>
    <row r="24" spans="1:5" ht="15" customHeight="1">
      <c r="A24" s="6" t="s">
        <v>134</v>
      </c>
    </row>
    <row r="25" spans="1:5" ht="15" customHeight="1">
      <c r="A25" s="6">
        <v>2028</v>
      </c>
      <c r="E25" s="6" t="s">
        <v>135</v>
      </c>
    </row>
    <row r="26" spans="1:5" ht="15" customHeight="1">
      <c r="A26" s="6">
        <v>2029</v>
      </c>
      <c r="E26" s="6" t="s">
        <v>136</v>
      </c>
    </row>
    <row r="28" spans="1:5" ht="15" customHeight="1">
      <c r="A28" s="6" t="s">
        <v>137</v>
      </c>
      <c r="E28" s="7">
        <v>0.3</v>
      </c>
    </row>
    <row r="31" spans="1:5" ht="15" customHeight="1">
      <c r="A31" s="6" t="s">
        <v>138</v>
      </c>
    </row>
    <row r="33" spans="1:5" ht="15" customHeight="1">
      <c r="A33" s="6" t="s">
        <v>139</v>
      </c>
    </row>
    <row r="34" spans="1:5" ht="15" customHeight="1">
      <c r="A34" s="6" t="s">
        <v>140</v>
      </c>
      <c r="E34" s="8">
        <v>0.06</v>
      </c>
    </row>
    <row r="35" spans="1:5" ht="15" customHeight="1">
      <c r="A35" s="6" t="s">
        <v>141</v>
      </c>
    </row>
    <row r="36" spans="1:5" ht="15" customHeight="1">
      <c r="A36" s="6" t="s">
        <v>142</v>
      </c>
    </row>
    <row r="37" spans="1:5" ht="15" customHeight="1">
      <c r="A37" s="6" t="s">
        <v>143</v>
      </c>
      <c r="E37" s="8">
        <v>7.0000000000000007E-2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INC</vt:lpstr>
      <vt:lpstr>BS</vt:lpstr>
      <vt:lpstr>CFS</vt:lpstr>
      <vt:lpstr>RATIOS</vt:lpstr>
      <vt:lpstr>FCFF Valuation</vt:lpstr>
      <vt:lpstr>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Gupta</dc:creator>
  <dc:description/>
  <cp:lastModifiedBy>Anjali Gupta</cp:lastModifiedBy>
  <cp:revision>0</cp:revision>
  <dcterms:created xsi:type="dcterms:W3CDTF">2026-08-18T03:30:41Z</dcterms:created>
  <dcterms:modified xsi:type="dcterms:W3CDTF">2026-08-28T18:17:05Z</dcterms:modified>
  <dc:language>en-US</dc:language>
</cp:coreProperties>
</file>